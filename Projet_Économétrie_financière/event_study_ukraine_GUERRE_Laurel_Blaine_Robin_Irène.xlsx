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irenet/Desktop/M1 DEFIS/semestre 2/Économétrie financière/"/>
    </mc:Choice>
  </mc:AlternateContent>
  <xr:revisionPtr revIDLastSave="0" documentId="13_ncr:20001_{8CEE362F-D872-614B-AA55-F05CB16ADF01}" xr6:coauthVersionLast="47" xr6:coauthVersionMax="47" xr10:uidLastSave="{00000000-0000-0000-0000-000000000000}"/>
  <bookViews>
    <workbookView xWindow="0" yWindow="0" windowWidth="28800" windowHeight="18000" xr2:uid="{00000000-000D-0000-FFFF-FFFF00000000}"/>
  </bookViews>
  <sheets>
    <sheet name="Récapitulatif" sheetId="1" r:id="rId1"/>
    <sheet name="EU ETS Carbon" sheetId="2" r:id="rId2"/>
    <sheet name="ERIX (ENR Europe)" sheetId="3" r:id="rId3"/>
    <sheet name="CLIM (Finance Verte)" sheetId="4" r:id="rId4"/>
    <sheet name="Brent Oil" sheetId="5" r:id="rId5"/>
    <sheet name="TTF Natural Gas" sheetId="6" r:id="rId6"/>
    <sheet name="Rotterdam Coal" sheetId="7" r:id="rId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33" i="3" l="1"/>
  <c r="K32" i="3"/>
  <c r="K31" i="3"/>
  <c r="J33" i="3"/>
  <c r="J32" i="3"/>
  <c r="J31" i="3"/>
  <c r="I32" i="3"/>
  <c r="I33" i="3"/>
  <c r="I31" i="3"/>
  <c r="K28" i="3"/>
  <c r="K27" i="3"/>
  <c r="K26" i="3"/>
  <c r="J28" i="3"/>
  <c r="J27" i="3"/>
  <c r="J26" i="3"/>
  <c r="I28" i="3"/>
  <c r="I27" i="3"/>
  <c r="I26" i="3"/>
  <c r="K33" i="4"/>
  <c r="K32" i="4"/>
  <c r="K31" i="4"/>
  <c r="J33" i="4"/>
  <c r="J32" i="4"/>
  <c r="J31" i="4"/>
  <c r="I33" i="4"/>
  <c r="I32" i="4"/>
  <c r="I31" i="4"/>
  <c r="K28" i="4"/>
  <c r="K27" i="4"/>
  <c r="K26" i="4"/>
  <c r="J28" i="4"/>
  <c r="J27" i="4"/>
  <c r="J26" i="4"/>
  <c r="I28" i="4"/>
  <c r="I27" i="4"/>
  <c r="I26" i="4"/>
  <c r="B3" i="4"/>
  <c r="K33" i="5"/>
  <c r="K32" i="5"/>
  <c r="K31" i="5"/>
  <c r="J33" i="5"/>
  <c r="J32" i="5"/>
  <c r="J31" i="5"/>
  <c r="I33" i="5"/>
  <c r="I32" i="5"/>
  <c r="I31" i="5"/>
  <c r="K28" i="5"/>
  <c r="K27" i="5"/>
  <c r="K26" i="5"/>
  <c r="J28" i="5"/>
  <c r="J27" i="5"/>
  <c r="J26" i="5"/>
  <c r="I28" i="5"/>
  <c r="I27" i="5"/>
  <c r="I26" i="5"/>
  <c r="B3" i="5"/>
  <c r="K33" i="6"/>
  <c r="K32" i="6"/>
  <c r="K31" i="6"/>
  <c r="J33" i="6"/>
  <c r="J32" i="6"/>
  <c r="J31" i="6"/>
  <c r="I33" i="6"/>
  <c r="I32" i="6"/>
  <c r="I31" i="6"/>
  <c r="K28" i="6"/>
  <c r="K27" i="6"/>
  <c r="K26" i="6"/>
  <c r="J28" i="6"/>
  <c r="J27" i="6"/>
  <c r="J26" i="6"/>
  <c r="I28" i="6"/>
  <c r="I27" i="6"/>
  <c r="I26" i="6"/>
  <c r="B3" i="6"/>
  <c r="K33" i="7"/>
  <c r="K32" i="7"/>
  <c r="K31" i="7"/>
  <c r="K28" i="7"/>
  <c r="K27" i="7"/>
  <c r="K26" i="7"/>
  <c r="J33" i="7"/>
  <c r="J32" i="7"/>
  <c r="J31" i="7"/>
  <c r="J28" i="7"/>
  <c r="J27" i="7"/>
  <c r="J26" i="7"/>
  <c r="I36" i="7"/>
  <c r="I33" i="7"/>
  <c r="I32" i="7"/>
  <c r="I31" i="7"/>
  <c r="I28" i="7"/>
  <c r="I27" i="7"/>
  <c r="I26" i="7"/>
  <c r="B3" i="7"/>
  <c r="B3" i="3"/>
  <c r="K33" i="2"/>
  <c r="K32" i="2"/>
  <c r="K31" i="2"/>
  <c r="J33" i="2"/>
  <c r="J32" i="2"/>
  <c r="J31" i="2"/>
  <c r="I33" i="2"/>
  <c r="I32" i="2"/>
  <c r="I31" i="2"/>
  <c r="K28" i="2"/>
  <c r="K27" i="2"/>
  <c r="K26" i="2"/>
  <c r="J28" i="2"/>
  <c r="J27" i="2"/>
  <c r="J26" i="2"/>
  <c r="I28" i="2"/>
  <c r="I27" i="2"/>
  <c r="I26" i="2"/>
  <c r="B3" i="2"/>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J30" i="7"/>
  <c r="E30" i="7"/>
  <c r="E29" i="7"/>
  <c r="E28" i="7"/>
  <c r="E27" i="7"/>
  <c r="E26" i="7"/>
  <c r="E25" i="7"/>
  <c r="F70" i="7" s="1"/>
  <c r="D64" i="7"/>
  <c r="E70" i="6"/>
  <c r="E69" i="6"/>
  <c r="E68" i="6"/>
  <c r="E67" i="6"/>
  <c r="E66" i="6"/>
  <c r="E65" i="6"/>
  <c r="F64" i="6"/>
  <c r="E64" i="6"/>
  <c r="E63" i="6"/>
  <c r="E62" i="6"/>
  <c r="F61" i="6"/>
  <c r="E61" i="6"/>
  <c r="E60" i="6"/>
  <c r="J30" i="6" s="1"/>
  <c r="E59" i="6"/>
  <c r="E58" i="6"/>
  <c r="E57" i="6"/>
  <c r="E56" i="6"/>
  <c r="E55" i="6"/>
  <c r="F54" i="6"/>
  <c r="E54" i="6"/>
  <c r="E53" i="6"/>
  <c r="E52" i="6"/>
  <c r="F51" i="6"/>
  <c r="E51" i="6"/>
  <c r="E50" i="6"/>
  <c r="E49" i="6"/>
  <c r="E48" i="6"/>
  <c r="E47" i="6"/>
  <c r="E46" i="6"/>
  <c r="F45" i="6"/>
  <c r="E45" i="6"/>
  <c r="E44" i="6"/>
  <c r="E43" i="6"/>
  <c r="E42" i="6"/>
  <c r="E41" i="6"/>
  <c r="E40" i="6"/>
  <c r="F39" i="6"/>
  <c r="E39" i="6"/>
  <c r="E38" i="6"/>
  <c r="E37" i="6"/>
  <c r="E36" i="6"/>
  <c r="E35" i="6"/>
  <c r="E34" i="6"/>
  <c r="F33" i="6"/>
  <c r="E33" i="6"/>
  <c r="E32" i="6"/>
  <c r="E31" i="6"/>
  <c r="E30" i="6"/>
  <c r="E29" i="6"/>
  <c r="E28" i="6"/>
  <c r="E27" i="6"/>
  <c r="F26" i="6"/>
  <c r="E26" i="6"/>
  <c r="E25" i="6"/>
  <c r="F62" i="6" s="1"/>
  <c r="D66" i="6"/>
  <c r="E70" i="5"/>
  <c r="E69" i="5"/>
  <c r="E68" i="5"/>
  <c r="E67" i="5"/>
  <c r="F66" i="5"/>
  <c r="E66" i="5"/>
  <c r="E65" i="5"/>
  <c r="E64" i="5"/>
  <c r="F63" i="5"/>
  <c r="E63" i="5"/>
  <c r="E62" i="5"/>
  <c r="F61" i="5"/>
  <c r="E61" i="5"/>
  <c r="E60" i="5"/>
  <c r="J30" i="5" s="1"/>
  <c r="E59" i="5"/>
  <c r="E58" i="5"/>
  <c r="E57" i="5"/>
  <c r="F56" i="5"/>
  <c r="E56" i="5"/>
  <c r="E55" i="5"/>
  <c r="E54" i="5"/>
  <c r="F53" i="5"/>
  <c r="E53" i="5"/>
  <c r="E52" i="5"/>
  <c r="F51" i="5"/>
  <c r="E51" i="5"/>
  <c r="E50" i="5"/>
  <c r="E49" i="5"/>
  <c r="E48" i="5"/>
  <c r="E47" i="5"/>
  <c r="F46" i="5"/>
  <c r="E46" i="5"/>
  <c r="E45" i="5"/>
  <c r="E44" i="5"/>
  <c r="E43" i="5"/>
  <c r="E42" i="5"/>
  <c r="E41" i="5"/>
  <c r="F40" i="5"/>
  <c r="E40" i="5"/>
  <c r="E39" i="5"/>
  <c r="E38" i="5"/>
  <c r="E37" i="5"/>
  <c r="E36" i="5"/>
  <c r="E35" i="5"/>
  <c r="F34" i="5"/>
  <c r="E34" i="5"/>
  <c r="E33" i="5"/>
  <c r="E32" i="5"/>
  <c r="E31" i="5"/>
  <c r="E30" i="5"/>
  <c r="E29" i="5"/>
  <c r="E28" i="5"/>
  <c r="F27" i="5"/>
  <c r="E27" i="5"/>
  <c r="F26" i="5"/>
  <c r="E26" i="5"/>
  <c r="E25" i="5"/>
  <c r="D61" i="5"/>
  <c r="E70" i="4"/>
  <c r="E69" i="4"/>
  <c r="F68" i="4"/>
  <c r="E68" i="4"/>
  <c r="E67" i="4"/>
  <c r="E66" i="4"/>
  <c r="F65" i="4"/>
  <c r="E65" i="4"/>
  <c r="E64" i="4"/>
  <c r="F63" i="4"/>
  <c r="E63" i="4"/>
  <c r="E62" i="4"/>
  <c r="F61" i="4"/>
  <c r="E61" i="4"/>
  <c r="E60" i="4"/>
  <c r="J30" i="4" s="1"/>
  <c r="E59" i="4"/>
  <c r="F58" i="4"/>
  <c r="E58" i="4"/>
  <c r="E57" i="4"/>
  <c r="E56" i="4"/>
  <c r="F55" i="4"/>
  <c r="E55" i="4"/>
  <c r="E54" i="4"/>
  <c r="F53" i="4"/>
  <c r="E53" i="4"/>
  <c r="E52" i="4"/>
  <c r="F51" i="4"/>
  <c r="E51" i="4"/>
  <c r="E50" i="4"/>
  <c r="E49" i="4"/>
  <c r="F48" i="4"/>
  <c r="E48" i="4"/>
  <c r="E47" i="4"/>
  <c r="E46" i="4"/>
  <c r="E45" i="4"/>
  <c r="E44" i="4"/>
  <c r="E43" i="4"/>
  <c r="F42" i="4"/>
  <c r="E42" i="4"/>
  <c r="E41" i="4"/>
  <c r="E40" i="4"/>
  <c r="E39" i="4"/>
  <c r="E38" i="4"/>
  <c r="E37" i="4"/>
  <c r="F36" i="4"/>
  <c r="E36" i="4"/>
  <c r="E35" i="4"/>
  <c r="E34" i="4"/>
  <c r="E33" i="4"/>
  <c r="E32" i="4"/>
  <c r="E31" i="4"/>
  <c r="F30" i="4"/>
  <c r="E30" i="4"/>
  <c r="E29" i="4"/>
  <c r="F28" i="4"/>
  <c r="E28" i="4"/>
  <c r="F27" i="4"/>
  <c r="E27" i="4"/>
  <c r="F26" i="4"/>
  <c r="E26" i="4"/>
  <c r="E25" i="4"/>
  <c r="F66" i="4" s="1"/>
  <c r="F69" i="4" s="1"/>
  <c r="D35" i="4"/>
  <c r="F70" i="3"/>
  <c r="E70" i="3"/>
  <c r="E69" i="3"/>
  <c r="E68" i="3"/>
  <c r="F67" i="3"/>
  <c r="E67" i="3"/>
  <c r="E66" i="3"/>
  <c r="F65" i="3"/>
  <c r="E65" i="3"/>
  <c r="E64" i="3"/>
  <c r="F63" i="3"/>
  <c r="E63" i="3"/>
  <c r="E62" i="3"/>
  <c r="F61" i="3"/>
  <c r="E61" i="3"/>
  <c r="F60" i="3"/>
  <c r="K30" i="3" s="1"/>
  <c r="E60" i="3"/>
  <c r="J30" i="3" s="1"/>
  <c r="E59" i="3"/>
  <c r="E58" i="3"/>
  <c r="F57" i="3"/>
  <c r="E57" i="3"/>
  <c r="E56" i="3"/>
  <c r="F55" i="3"/>
  <c r="E55" i="3"/>
  <c r="E54" i="3"/>
  <c r="F53" i="3"/>
  <c r="E53" i="3"/>
  <c r="E52" i="3"/>
  <c r="F51" i="3"/>
  <c r="E51" i="3"/>
  <c r="F50" i="3"/>
  <c r="E50" i="3"/>
  <c r="E49" i="3"/>
  <c r="E48" i="3"/>
  <c r="F47" i="3"/>
  <c r="E47" i="3"/>
  <c r="E46" i="3"/>
  <c r="E45" i="3"/>
  <c r="E44" i="3"/>
  <c r="F43" i="3"/>
  <c r="E43" i="3"/>
  <c r="E42" i="3"/>
  <c r="F41" i="3"/>
  <c r="E41" i="3"/>
  <c r="E40" i="3"/>
  <c r="E39" i="3"/>
  <c r="E38" i="3"/>
  <c r="F37" i="3"/>
  <c r="E37" i="3"/>
  <c r="E36" i="3"/>
  <c r="F35" i="3"/>
  <c r="E35" i="3"/>
  <c r="E34" i="3"/>
  <c r="E33" i="3"/>
  <c r="E32" i="3"/>
  <c r="F31" i="3"/>
  <c r="E31" i="3"/>
  <c r="E30" i="3"/>
  <c r="F29" i="3"/>
  <c r="E29" i="3"/>
  <c r="F28" i="3"/>
  <c r="E28" i="3"/>
  <c r="F27" i="3"/>
  <c r="E27" i="3"/>
  <c r="F26" i="3"/>
  <c r="E26" i="3"/>
  <c r="F25" i="3"/>
  <c r="E25" i="3"/>
  <c r="F68" i="3" s="1"/>
  <c r="E70" i="2"/>
  <c r="E69" i="2"/>
  <c r="E68" i="2"/>
  <c r="F67" i="2"/>
  <c r="E67" i="2"/>
  <c r="E66" i="2"/>
  <c r="E65" i="2"/>
  <c r="E64" i="2"/>
  <c r="F63" i="2"/>
  <c r="E63" i="2"/>
  <c r="F62" i="2"/>
  <c r="E62" i="2"/>
  <c r="F61" i="2"/>
  <c r="E61" i="2"/>
  <c r="E60" i="2"/>
  <c r="D5" i="1" s="1"/>
  <c r="F59" i="2"/>
  <c r="E59" i="2"/>
  <c r="F58" i="2"/>
  <c r="E58" i="2"/>
  <c r="F57" i="2"/>
  <c r="E57" i="2"/>
  <c r="E56" i="2"/>
  <c r="F55" i="2"/>
  <c r="E55" i="2"/>
  <c r="E54" i="2"/>
  <c r="F53" i="2"/>
  <c r="E53" i="2"/>
  <c r="F52" i="2"/>
  <c r="E52" i="2"/>
  <c r="F51" i="2"/>
  <c r="E51" i="2"/>
  <c r="E50" i="2"/>
  <c r="F49" i="2"/>
  <c r="E49" i="2"/>
  <c r="F48" i="2"/>
  <c r="E48" i="2"/>
  <c r="F47" i="2"/>
  <c r="E47" i="2"/>
  <c r="E46" i="2"/>
  <c r="F45" i="2"/>
  <c r="E45" i="2"/>
  <c r="E44" i="2"/>
  <c r="E43" i="2"/>
  <c r="E42" i="2"/>
  <c r="F41" i="2"/>
  <c r="E41" i="2"/>
  <c r="E40" i="2"/>
  <c r="E39" i="2"/>
  <c r="F38" i="2"/>
  <c r="E38" i="2"/>
  <c r="E37" i="2"/>
  <c r="F36" i="2"/>
  <c r="E36" i="2"/>
  <c r="F35" i="2"/>
  <c r="E35" i="2"/>
  <c r="E34" i="2"/>
  <c r="F33" i="2"/>
  <c r="E33" i="2"/>
  <c r="F32" i="2"/>
  <c r="E32" i="2"/>
  <c r="E31" i="2"/>
  <c r="F30" i="2"/>
  <c r="E30" i="2"/>
  <c r="F29" i="2"/>
  <c r="E29" i="2"/>
  <c r="F28" i="2"/>
  <c r="E28" i="2"/>
  <c r="F27" i="2"/>
  <c r="E27" i="2"/>
  <c r="E26" i="2"/>
  <c r="F25" i="2"/>
  <c r="E25" i="2"/>
  <c r="D69" i="2"/>
  <c r="J10" i="1"/>
  <c r="D10" i="1"/>
  <c r="D9" i="1"/>
  <c r="C8" i="1"/>
  <c r="D28" i="5" l="1"/>
  <c r="D43" i="5"/>
  <c r="D67" i="5"/>
  <c r="D57" i="5"/>
  <c r="D25" i="5"/>
  <c r="F64" i="5" s="1"/>
  <c r="D29" i="5"/>
  <c r="D48" i="5"/>
  <c r="D35" i="6"/>
  <c r="D25" i="2"/>
  <c r="F64" i="2" s="1"/>
  <c r="D30" i="5"/>
  <c r="D58" i="5"/>
  <c r="D36" i="6"/>
  <c r="D47" i="6"/>
  <c r="D68" i="6"/>
  <c r="D27" i="7"/>
  <c r="D55" i="7"/>
  <c r="D61" i="7"/>
  <c r="D66" i="7"/>
  <c r="D30" i="6"/>
  <c r="D41" i="6"/>
  <c r="D57" i="6"/>
  <c r="D29" i="2"/>
  <c r="D67" i="2"/>
  <c r="D35" i="5"/>
  <c r="D68" i="5"/>
  <c r="D42" i="6"/>
  <c r="D58" i="6"/>
  <c r="D47" i="4"/>
  <c r="D69" i="4"/>
  <c r="D31" i="5"/>
  <c r="D50" i="5"/>
  <c r="D55" i="5"/>
  <c r="D48" i="6"/>
  <c r="D28" i="7"/>
  <c r="D51" i="7"/>
  <c r="D56" i="7"/>
  <c r="D55" i="2"/>
  <c r="D59" i="2"/>
  <c r="D63" i="2"/>
  <c r="D36" i="5"/>
  <c r="D41" i="5"/>
  <c r="D60" i="5"/>
  <c r="I30" i="5" s="1"/>
  <c r="D65" i="5"/>
  <c r="D28" i="6"/>
  <c r="D65" i="6"/>
  <c r="D34" i="7"/>
  <c r="D40" i="7"/>
  <c r="D46" i="7"/>
  <c r="D67" i="7"/>
  <c r="D70" i="5"/>
  <c r="D55" i="6"/>
  <c r="D29" i="7"/>
  <c r="D57" i="7"/>
  <c r="D63" i="7"/>
  <c r="D67" i="6"/>
  <c r="D31" i="2"/>
  <c r="D37" i="5"/>
  <c r="D42" i="5"/>
  <c r="D47" i="5"/>
  <c r="D29" i="6"/>
  <c r="D35" i="7"/>
  <c r="D41" i="7"/>
  <c r="D47" i="7"/>
  <c r="D53" i="7"/>
  <c r="D26" i="7"/>
  <c r="D65" i="7"/>
  <c r="J5" i="1"/>
  <c r="G9" i="1"/>
  <c r="J39" i="2"/>
  <c r="J38" i="2"/>
  <c r="D62" i="3"/>
  <c r="D52" i="3"/>
  <c r="D44" i="3"/>
  <c r="D38" i="3"/>
  <c r="D32" i="3"/>
  <c r="D68" i="3"/>
  <c r="D58" i="3"/>
  <c r="D48" i="3"/>
  <c r="D42" i="3"/>
  <c r="D36" i="3"/>
  <c r="D30" i="3"/>
  <c r="D70" i="3"/>
  <c r="D60" i="3"/>
  <c r="D50" i="3"/>
  <c r="D43" i="3"/>
  <c r="D37" i="3"/>
  <c r="D31" i="3"/>
  <c r="D25" i="3"/>
  <c r="D63" i="3"/>
  <c r="D53" i="3"/>
  <c r="D27" i="3"/>
  <c r="D66" i="3"/>
  <c r="D56" i="3"/>
  <c r="D46" i="3"/>
  <c r="D40" i="3"/>
  <c r="D34" i="3"/>
  <c r="J36" i="3"/>
  <c r="D55" i="3"/>
  <c r="D65" i="3"/>
  <c r="D61" i="3"/>
  <c r="D70" i="4"/>
  <c r="D60" i="4"/>
  <c r="D50" i="4"/>
  <c r="D43" i="4"/>
  <c r="D37" i="4"/>
  <c r="D31" i="4"/>
  <c r="D25" i="4"/>
  <c r="D63" i="4"/>
  <c r="D53" i="4"/>
  <c r="D27" i="4"/>
  <c r="D66" i="4"/>
  <c r="D56" i="4"/>
  <c r="D46" i="4"/>
  <c r="D40" i="4"/>
  <c r="D34" i="4"/>
  <c r="D68" i="4"/>
  <c r="D58" i="4"/>
  <c r="D48" i="4"/>
  <c r="D42" i="4"/>
  <c r="D36" i="4"/>
  <c r="D30" i="4"/>
  <c r="D61" i="4"/>
  <c r="D51" i="4"/>
  <c r="D26" i="4"/>
  <c r="D64" i="4"/>
  <c r="D54" i="4"/>
  <c r="D45" i="4"/>
  <c r="D39" i="4"/>
  <c r="D33" i="4"/>
  <c r="D28" i="4"/>
  <c r="D32" i="4"/>
  <c r="D44" i="4"/>
  <c r="D59" i="4"/>
  <c r="D65" i="4"/>
  <c r="J39" i="7"/>
  <c r="J38" i="7"/>
  <c r="J36" i="7"/>
  <c r="D26" i="2"/>
  <c r="D56" i="2"/>
  <c r="D28" i="3"/>
  <c r="D39" i="3"/>
  <c r="J36" i="4"/>
  <c r="J8" i="1"/>
  <c r="D30" i="2"/>
  <c r="D41" i="2"/>
  <c r="D68" i="2"/>
  <c r="D47" i="3"/>
  <c r="D57" i="3"/>
  <c r="D67" i="3"/>
  <c r="D49" i="4"/>
  <c r="D55" i="4"/>
  <c r="J36" i="6"/>
  <c r="F26" i="2"/>
  <c r="D28" i="2"/>
  <c r="D32" i="2"/>
  <c r="D49" i="2"/>
  <c r="D53" i="2"/>
  <c r="D57" i="2"/>
  <c r="D61" i="2"/>
  <c r="D26" i="3"/>
  <c r="D29" i="4"/>
  <c r="D41" i="4"/>
  <c r="J37" i="6"/>
  <c r="D36" i="2"/>
  <c r="D38" i="2"/>
  <c r="D40" i="2"/>
  <c r="D48" i="2"/>
  <c r="D52" i="2"/>
  <c r="D35" i="3"/>
  <c r="D51" i="3"/>
  <c r="D34" i="2"/>
  <c r="D65" i="2"/>
  <c r="D29" i="3"/>
  <c r="D67" i="4"/>
  <c r="D64" i="2"/>
  <c r="D54" i="2"/>
  <c r="D45" i="2"/>
  <c r="D39" i="2"/>
  <c r="D33" i="2"/>
  <c r="D70" i="2"/>
  <c r="D60" i="2"/>
  <c r="D50" i="2"/>
  <c r="D43" i="2"/>
  <c r="D37" i="2"/>
  <c r="D42" i="2"/>
  <c r="D44" i="2"/>
  <c r="D46" i="2"/>
  <c r="D33" i="3"/>
  <c r="D38" i="4"/>
  <c r="D62" i="4"/>
  <c r="J36" i="5"/>
  <c r="F70" i="2"/>
  <c r="F60" i="2"/>
  <c r="F50" i="2"/>
  <c r="F43" i="2"/>
  <c r="F37" i="2"/>
  <c r="F31" i="2"/>
  <c r="F66" i="2"/>
  <c r="F56" i="2"/>
  <c r="F46" i="2"/>
  <c r="F40" i="2"/>
  <c r="F68" i="2"/>
  <c r="J30" i="2"/>
  <c r="J36" i="2" s="1"/>
  <c r="F34" i="2"/>
  <c r="F39" i="2"/>
  <c r="D58" i="2"/>
  <c r="D62" i="2"/>
  <c r="F65" i="2"/>
  <c r="F69" i="2"/>
  <c r="D41" i="3"/>
  <c r="D49" i="3"/>
  <c r="D54" i="3"/>
  <c r="D59" i="3"/>
  <c r="D64" i="3"/>
  <c r="D69" i="3"/>
  <c r="D57" i="4"/>
  <c r="D6" i="1"/>
  <c r="D7" i="1"/>
  <c r="D8" i="1"/>
  <c r="E6" i="1"/>
  <c r="D27" i="2"/>
  <c r="D35" i="2"/>
  <c r="F42" i="2"/>
  <c r="F44" i="2"/>
  <c r="D47" i="2"/>
  <c r="D51" i="2"/>
  <c r="F54" i="2"/>
  <c r="D66" i="2"/>
  <c r="D45" i="3"/>
  <c r="D52" i="4"/>
  <c r="D27" i="6"/>
  <c r="F49" i="6"/>
  <c r="D53" i="6"/>
  <c r="F59" i="6"/>
  <c r="D63" i="6"/>
  <c r="F69" i="6"/>
  <c r="F29" i="7"/>
  <c r="F35" i="7"/>
  <c r="F41" i="7"/>
  <c r="F47" i="7"/>
  <c r="F57" i="7"/>
  <c r="F67" i="7"/>
  <c r="F32" i="3"/>
  <c r="F38" i="3"/>
  <c r="F44" i="3"/>
  <c r="F52" i="3"/>
  <c r="F62" i="3"/>
  <c r="F25" i="4"/>
  <c r="F31" i="4"/>
  <c r="F37" i="4"/>
  <c r="F43" i="4"/>
  <c r="F50" i="4"/>
  <c r="F60" i="4"/>
  <c r="F70" i="4"/>
  <c r="F30" i="5"/>
  <c r="D32" i="5"/>
  <c r="F36" i="5"/>
  <c r="D38" i="5"/>
  <c r="F42" i="5"/>
  <c r="D44" i="5"/>
  <c r="F48" i="5"/>
  <c r="D52" i="5"/>
  <c r="F58" i="5"/>
  <c r="D62" i="5"/>
  <c r="F68" i="5"/>
  <c r="D25" i="6"/>
  <c r="D31" i="6"/>
  <c r="F34" i="6"/>
  <c r="D37" i="6"/>
  <c r="F40" i="6"/>
  <c r="D43" i="6"/>
  <c r="F46" i="6"/>
  <c r="D50" i="6"/>
  <c r="F56" i="6"/>
  <c r="D60" i="6"/>
  <c r="F66" i="6"/>
  <c r="D70" i="6"/>
  <c r="D30" i="7"/>
  <c r="F33" i="7"/>
  <c r="D36" i="7"/>
  <c r="F39" i="7"/>
  <c r="D42" i="7"/>
  <c r="F45" i="7"/>
  <c r="D48" i="7"/>
  <c r="F54" i="7"/>
  <c r="D58" i="7"/>
  <c r="F64" i="7"/>
  <c r="D68" i="7"/>
  <c r="F49" i="3"/>
  <c r="F59" i="3"/>
  <c r="F69" i="3"/>
  <c r="F29" i="4"/>
  <c r="F35" i="4"/>
  <c r="F41" i="4"/>
  <c r="F47" i="4"/>
  <c r="F57" i="4"/>
  <c r="F67" i="4"/>
  <c r="F28" i="5"/>
  <c r="D49" i="5"/>
  <c r="F55" i="5"/>
  <c r="D59" i="5"/>
  <c r="F65" i="5"/>
  <c r="D69" i="5"/>
  <c r="F27" i="6"/>
  <c r="F53" i="6"/>
  <c r="F63" i="6"/>
  <c r="F26" i="7"/>
  <c r="F51" i="7"/>
  <c r="F61" i="7"/>
  <c r="F34" i="3"/>
  <c r="F40" i="3"/>
  <c r="F46" i="3"/>
  <c r="F56" i="3"/>
  <c r="F66" i="3"/>
  <c r="F33" i="4"/>
  <c r="F39" i="4"/>
  <c r="F45" i="4"/>
  <c r="F54" i="4"/>
  <c r="F64" i="4"/>
  <c r="F32" i="5"/>
  <c r="D34" i="5"/>
  <c r="F38" i="5"/>
  <c r="D40" i="5"/>
  <c r="F44" i="5"/>
  <c r="D46" i="5"/>
  <c r="F52" i="5"/>
  <c r="D56" i="5"/>
  <c r="F62" i="5"/>
  <c r="D66" i="5"/>
  <c r="F25" i="6"/>
  <c r="F31" i="6"/>
  <c r="D33" i="6"/>
  <c r="F37" i="6"/>
  <c r="D39" i="6"/>
  <c r="F43" i="6"/>
  <c r="D45" i="6"/>
  <c r="F50" i="6"/>
  <c r="D54" i="6"/>
  <c r="F60" i="6"/>
  <c r="D64" i="6"/>
  <c r="F70" i="6"/>
  <c r="F30" i="7"/>
  <c r="D32" i="7"/>
  <c r="F36" i="7"/>
  <c r="D38" i="7"/>
  <c r="F42" i="7"/>
  <c r="D44" i="7"/>
  <c r="F48" i="7"/>
  <c r="D52" i="7"/>
  <c r="F58" i="7"/>
  <c r="D62" i="7"/>
  <c r="F68" i="7"/>
  <c r="D27" i="5"/>
  <c r="F49" i="5"/>
  <c r="D53" i="5"/>
  <c r="F59" i="5"/>
  <c r="D63" i="5"/>
  <c r="F69" i="5"/>
  <c r="D26" i="6"/>
  <c r="F29" i="6"/>
  <c r="F35" i="6"/>
  <c r="F41" i="6"/>
  <c r="F47" i="6"/>
  <c r="D51" i="6"/>
  <c r="F57" i="6"/>
  <c r="D61" i="6"/>
  <c r="F67" i="6"/>
  <c r="F28" i="7"/>
  <c r="D49" i="7"/>
  <c r="F55" i="7"/>
  <c r="D59" i="7"/>
  <c r="F65" i="7"/>
  <c r="D69" i="7"/>
  <c r="F32" i="7"/>
  <c r="F38" i="7"/>
  <c r="F44" i="7"/>
  <c r="F52" i="7"/>
  <c r="F62" i="7"/>
  <c r="F49" i="7"/>
  <c r="F59" i="7"/>
  <c r="F69" i="7"/>
  <c r="F33" i="3"/>
  <c r="F39" i="3"/>
  <c r="F45" i="3"/>
  <c r="F54" i="3"/>
  <c r="F64" i="3"/>
  <c r="F32" i="4"/>
  <c r="F38" i="4"/>
  <c r="F44" i="4"/>
  <c r="F52" i="4"/>
  <c r="F62" i="4"/>
  <c r="F25" i="5"/>
  <c r="F31" i="5"/>
  <c r="D33" i="5"/>
  <c r="F37" i="5"/>
  <c r="D39" i="5"/>
  <c r="F43" i="5"/>
  <c r="D45" i="5"/>
  <c r="F50" i="5"/>
  <c r="D54" i="5"/>
  <c r="F60" i="5"/>
  <c r="D64" i="5"/>
  <c r="F70" i="5"/>
  <c r="F30" i="6"/>
  <c r="D32" i="6"/>
  <c r="F36" i="6"/>
  <c r="D38" i="6"/>
  <c r="F42" i="6"/>
  <c r="D44" i="6"/>
  <c r="F48" i="6"/>
  <c r="D52" i="6"/>
  <c r="F58" i="6"/>
  <c r="D62" i="6"/>
  <c r="F68" i="6"/>
  <c r="D25" i="7"/>
  <c r="D31" i="7"/>
  <c r="F34" i="7"/>
  <c r="D37" i="7"/>
  <c r="F40" i="7"/>
  <c r="D43" i="7"/>
  <c r="F46" i="7"/>
  <c r="D50" i="7"/>
  <c r="F56" i="7"/>
  <c r="D60" i="7"/>
  <c r="F66" i="7"/>
  <c r="D70" i="7"/>
  <c r="F49" i="4"/>
  <c r="F59" i="4"/>
  <c r="D26" i="5"/>
  <c r="F29" i="5"/>
  <c r="F35" i="5"/>
  <c r="F41" i="5"/>
  <c r="F47" i="5"/>
  <c r="D51" i="5"/>
  <c r="F57" i="5"/>
  <c r="F67" i="5"/>
  <c r="F28" i="6"/>
  <c r="D49" i="6"/>
  <c r="F55" i="6"/>
  <c r="D59" i="6"/>
  <c r="F65" i="6"/>
  <c r="D69" i="6"/>
  <c r="F27" i="7"/>
  <c r="F53" i="7"/>
  <c r="F63" i="7"/>
  <c r="F30" i="3"/>
  <c r="F36" i="3"/>
  <c r="F42" i="3"/>
  <c r="F48" i="3"/>
  <c r="F58" i="3"/>
  <c r="F34" i="4"/>
  <c r="F40" i="4"/>
  <c r="F46" i="4"/>
  <c r="F56" i="4"/>
  <c r="F33" i="5"/>
  <c r="F39" i="5"/>
  <c r="F45" i="5"/>
  <c r="F54" i="5"/>
  <c r="F32" i="6"/>
  <c r="D34" i="6"/>
  <c r="F38" i="6"/>
  <c r="D40" i="6"/>
  <c r="F44" i="6"/>
  <c r="D46" i="6"/>
  <c r="F52" i="6"/>
  <c r="D56" i="6"/>
  <c r="F25" i="7"/>
  <c r="F31" i="7"/>
  <c r="D33" i="7"/>
  <c r="F37" i="7"/>
  <c r="D39" i="7"/>
  <c r="F43" i="7"/>
  <c r="D45" i="7"/>
  <c r="F50" i="7"/>
  <c r="D54" i="7"/>
  <c r="F60" i="7"/>
  <c r="J39" i="3" l="1"/>
  <c r="J39" i="4"/>
  <c r="K38" i="3"/>
  <c r="K36" i="3"/>
  <c r="L6" i="1" s="1"/>
  <c r="K9" i="1"/>
  <c r="K38" i="2"/>
  <c r="I8" i="1"/>
  <c r="I10" i="1"/>
  <c r="K6" i="1"/>
  <c r="K5" i="1"/>
  <c r="K7" i="1"/>
  <c r="I38" i="5"/>
  <c r="I39" i="5"/>
  <c r="I36" i="5"/>
  <c r="K8" i="1"/>
  <c r="K30" i="7"/>
  <c r="E10" i="1"/>
  <c r="C5" i="1"/>
  <c r="I30" i="2"/>
  <c r="I36" i="2" s="1"/>
  <c r="J38" i="3"/>
  <c r="J6" i="1"/>
  <c r="G8" i="1"/>
  <c r="J37" i="3"/>
  <c r="G6" i="1"/>
  <c r="I30" i="6"/>
  <c r="C9" i="1"/>
  <c r="J37" i="4"/>
  <c r="G7" i="1"/>
  <c r="K30" i="4"/>
  <c r="E7" i="1"/>
  <c r="J37" i="2"/>
  <c r="G5" i="1"/>
  <c r="I30" i="4"/>
  <c r="C7" i="1"/>
  <c r="J38" i="6"/>
  <c r="J9" i="1"/>
  <c r="K30" i="2"/>
  <c r="K36" i="2" s="1"/>
  <c r="L5" i="1" s="1"/>
  <c r="E5" i="1"/>
  <c r="J38" i="4"/>
  <c r="J7" i="1"/>
  <c r="I30" i="7"/>
  <c r="C10" i="1"/>
  <c r="K30" i="5"/>
  <c r="E8" i="1"/>
  <c r="K30" i="6"/>
  <c r="E9" i="1"/>
  <c r="J37" i="7"/>
  <c r="G10" i="1"/>
  <c r="J39" i="6"/>
  <c r="C6" i="1"/>
  <c r="I30" i="3"/>
  <c r="J38" i="5"/>
  <c r="J39" i="5"/>
  <c r="I39" i="2"/>
  <c r="K39" i="3" l="1"/>
  <c r="K39" i="2"/>
  <c r="K38" i="5"/>
  <c r="K39" i="5"/>
  <c r="I37" i="2"/>
  <c r="F5" i="1"/>
  <c r="I6" i="1"/>
  <c r="I9" i="1"/>
  <c r="F7" i="1"/>
  <c r="I39" i="6"/>
  <c r="I38" i="6"/>
  <c r="I37" i="5"/>
  <c r="F8" i="1"/>
  <c r="I38" i="7"/>
  <c r="I39" i="7"/>
  <c r="K36" i="7"/>
  <c r="L10" i="1" s="1"/>
  <c r="H9" i="1"/>
  <c r="I39" i="3"/>
  <c r="I37" i="3"/>
  <c r="K36" i="6"/>
  <c r="L9" i="1" s="1"/>
  <c r="I5" i="1"/>
  <c r="I38" i="2"/>
  <c r="K36" i="5"/>
  <c r="L8" i="1" s="1"/>
  <c r="F10" i="1"/>
  <c r="H5" i="1"/>
  <c r="K37" i="2"/>
  <c r="K39" i="6"/>
  <c r="K38" i="6"/>
  <c r="I39" i="4"/>
  <c r="I38" i="4"/>
  <c r="K10" i="1"/>
  <c r="H8" i="1"/>
  <c r="I36" i="4"/>
  <c r="K36" i="4"/>
  <c r="L7" i="1" s="1"/>
  <c r="J37" i="5"/>
  <c r="K39" i="4"/>
  <c r="K38" i="4"/>
  <c r="K39" i="7"/>
  <c r="K37" i="7"/>
  <c r="I7" i="1"/>
  <c r="H6" i="1"/>
  <c r="K37" i="3"/>
  <c r="I36" i="3"/>
  <c r="F6" i="1"/>
  <c r="H10" i="1"/>
  <c r="H7" i="1"/>
  <c r="F9" i="1"/>
  <c r="I36" i="6"/>
  <c r="I38" i="3" l="1"/>
  <c r="I37" i="6"/>
  <c r="K37" i="5"/>
  <c r="K38" i="7"/>
  <c r="I37" i="4"/>
  <c r="K37" i="4"/>
  <c r="K37" i="6"/>
  <c r="I37" i="7"/>
</calcChain>
</file>

<file path=xl/sharedStrings.xml><?xml version="1.0" encoding="utf-8"?>
<sst xmlns="http://schemas.openxmlformats.org/spreadsheetml/2006/main" count="309" uniqueCount="81">
  <si>
    <t>Actif</t>
  </si>
  <si>
    <t>Catégorie</t>
  </si>
  <si>
    <t>AR J=0
Mean-Adj</t>
  </si>
  <si>
    <t>AR J=0
Mkt-Adj</t>
  </si>
  <si>
    <t>AR J=0
Mkt Model</t>
  </si>
  <si>
    <t>CAR ant.
Mean-Adj</t>
  </si>
  <si>
    <t>CAR ant.
Mkt-Adj</t>
  </si>
  <si>
    <t>CAR ant.
Mkt Model</t>
  </si>
  <si>
    <t>CAR adj.
Mean-Adj</t>
  </si>
  <si>
    <t>CAR adj.
Mkt-Adj</t>
  </si>
  <si>
    <t>CAR adj.
Mkt Model</t>
  </si>
  <si>
    <t>p-val
Jour J
(Mkt Model)</t>
  </si>
  <si>
    <t>EU ETS Carbon</t>
  </si>
  <si>
    <t>Marché Carbone (EU ETS)</t>
  </si>
  <si>
    <t>ERIXX (ENR Europe)</t>
  </si>
  <si>
    <t>Finance Verte / ENR</t>
  </si>
  <si>
    <t>CLIM (Finance Verte)</t>
  </si>
  <si>
    <t>Brent Oil</t>
  </si>
  <si>
    <t>Énergies Fossiles</t>
  </si>
  <si>
    <t>TTF Natural Gas</t>
  </si>
  <si>
    <t>Rotterdam Coal</t>
  </si>
  <si>
    <t>Average returns</t>
  </si>
  <si>
    <t>Rendement moyen dans la fenêtre d'estimation (θ̂ pour Mean-Adjusted)</t>
  </si>
  <si>
    <t>Alpha (α̂)</t>
  </si>
  <si>
    <t>Constante du Market Model estimée par MCO</t>
  </si>
  <si>
    <t>Beta (γ̂)</t>
  </si>
  <si>
    <t>Pente du Market Model : si le rendement marché varie d'1 unité, l'actif varie de γ̂ unités</t>
  </si>
  <si>
    <t>Event day</t>
  </si>
  <si>
    <t>Anticipation</t>
  </si>
  <si>
    <t>jours avant l'événement</t>
  </si>
  <si>
    <t>Ajustement</t>
  </si>
  <si>
    <t>jours après l'événement</t>
  </si>
  <si>
    <t>Estimation wind</t>
  </si>
  <si>
    <t>jours (fenêtre d'estimation MCO)</t>
  </si>
  <si>
    <t>Date</t>
  </si>
  <si>
    <t>Rendement
EU ETS Carbon</t>
  </si>
  <si>
    <t>Rendement
Euro Stoxx 50</t>
  </si>
  <si>
    <t>AR
Mean-Adjusted</t>
  </si>
  <si>
    <t>AR
Market-Adjusted</t>
  </si>
  <si>
    <t>AR
Market Model</t>
  </si>
  <si>
    <t>Statistique</t>
  </si>
  <si>
    <t>Mean-Adjusted</t>
  </si>
  <si>
    <t>Market-Adjusted</t>
  </si>
  <si>
    <t>Market Model</t>
  </si>
  <si>
    <t>σ (1 jour)</t>
  </si>
  <si>
    <t>σ (10 jours)</t>
  </si>
  <si>
    <t>σ (21 jours)</t>
  </si>
  <si>
    <t>Rendements Anormaux Cumulés (CAR)</t>
  </si>
  <si>
    <t>AR Jour J (événement)</t>
  </si>
  <si>
    <t>CAR Anticipation [-10,-1]</t>
  </si>
  <si>
    <t>CAR Ajustement [+1,+10]</t>
  </si>
  <si>
    <t>CAR Total [-10,+10]</t>
  </si>
  <si>
    <t>Statistiques t</t>
  </si>
  <si>
    <t>p-valeurs (bilatéral, df=24)</t>
  </si>
  <si>
    <t>← Anticipation [-10,-1]</t>
  </si>
  <si>
    <t>← Jour J (événement)</t>
  </si>
  <si>
    <t>← Ajustement [+1,+10]</t>
  </si>
  <si>
    <t>Rendement
ERIXX (ENR Europe)</t>
  </si>
  <si>
    <t>Rendement
CLIM (Finance Verte)</t>
  </si>
  <si>
    <t>Rendement
Brent Oil</t>
  </si>
  <si>
    <t>Rendement
TTF Natural Gas</t>
  </si>
  <si>
    <t>Rendement
Rotterdam Coal</t>
  </si>
  <si>
    <t xml:space="preserve"> Significatif si p-valeur &lt; 5% (|t| &gt; 1.96) ou &lt; 1% (|t| &gt; 2.58)</t>
  </si>
  <si>
    <t xml:space="preserve"> AR &gt; 0 : surperformance liée à l'événement ; AR &lt; 0 : sous-performance</t>
  </si>
  <si>
    <t>Oui, l'événement a bien provoqué des réactions différenciées entre actifs carbonés et bas-carbone. Les marchés financiers opèrent un ajustement instantané des prix qui révèle leurs anticipations sur la sécurité énergétique et la trajectoire de transition.
La guerre agit simultanément comme un choc d'offre fossile (↑ gaz) et comme un signal pro-transition (↑ ENR), ce qui confirme le rôle des marchés dans l'intégration des risques géopolitiques, climatiques et énergétiques.</t>
  </si>
  <si>
    <t>Étude d'événement : Guerre Ukraine (24/02/2022), EU ETS Carbon</t>
  </si>
  <si>
    <t>t - Jour J</t>
  </si>
  <si>
    <t>t - Anticipation</t>
  </si>
  <si>
    <t>t - Ajustement</t>
  </si>
  <si>
    <t>t - Total</t>
  </si>
  <si>
    <t>p - Jour J</t>
  </si>
  <si>
    <t>p - Anticipation</t>
  </si>
  <si>
    <t>p - Ajustement</t>
  </si>
  <si>
    <t>p - Total</t>
  </si>
  <si>
    <t>Étude d'événement : Guerre Ukraine (24/02/2022), ERIXX (ENR Europe)</t>
  </si>
  <si>
    <t>Étude d'événement : Guerre Ukraine (24/02/2022), CLIM (Finance Verte)</t>
  </si>
  <si>
    <t>Étude d'événement : Guerre Ukraine (24/02/2022), Brent Oil</t>
  </si>
  <si>
    <t>Étude d'événement : Guerre Ukraine (24/02/2022), TTF Natural Gas</t>
  </si>
  <si>
    <t>Étude d'événement : Guerre Ukraine (24/02/2022), Rotterdam Coal</t>
  </si>
  <si>
    <t>ÉTUDE D'ÉVÉNEMENT : GUERRE EN UKRAINE (24/02/2022)</t>
  </si>
  <si>
    <t xml:space="preserve">                                                                                                                                            
  Lecture de nos résultats de l'étude d'événement : Guerre en Ukraine (24/02/2022)                                                                       
  Rappel méthodologique                                                                                                                            
  - t = 0 : 24 février 2022 (invasion russe de l'Ukraine)                                                                                          
  - Fenêtre d'estimation : 25 jours ouvrés avant la période d'anticipation → sert à estimer α̂ et γ̂ (Market Model) et θ̂ (Mean-Adjusted)             
  - Fenêtre d'anticipation : [-10, -1] → le marché avait-il anticipé l'événement ?                                                                 
  - Fenêtre d'ajustement : [+1, +10] → l'effet persiste-t-il après le choc ?                                                                       
  - Test : t = AR / σ ou CAR / (σ·√n), bilatéral, loi de Student (df = 24)                                                                         
  - Seuils : |t| &gt; 1.96 → significatif à 5% | |t| &gt; 2.58 → significatif à 1%                                                                       
  1. Marché Carbone, EU ETS (quotas CO₂)                                                                                                          
  AR au jour J ≈ -8.7% (négatif et significatif, p &lt; 5% sur les trois modèles)
  Contre-intuitif à première vue : le prix des quotas carbone a chuté le jour de l'invasion. L'explication économique : la guerre a immédiatement  
  déclenché une forte incertitude sur la croissance européenne, réduisant les anticipations d'activité industrielle et donc la demande de quotas.  
  Par ailleurs, certains acteurs ont liquidé leurs positions EUA pour couvrir d'autres expositions. La réaction est donc une prime de risque       
  économique à court terme, pas un signal climatique.       
  CAR anticipation ≈ négatif ou non significatif → le marché carbone n'avait pas anticipé l'événement avant J.                                     
  CAR ajustement → à interpréter : si positif, le marché se rattrape en intégrant la thèse de la transition accélérée.                           
  2. Énergies fossiles                                      
  Brent Oil : AR ≈ +1.8% (modéré, probablement non significatif)
  La réaction du pétrole est surprenamment faible. Les marchés avaient déjà en partie intégré le risque géopolitique dans les semaines précédentes 
  (cf. CAR anticipation probablement positif). Le Brent est un marché global, la Russie pèse davantage sur le gaz que sur le pétrole mondial.     
  TTF Natural Gas : AR ≈ +51%, le résultat le plus extrême de l'étude                                                                                
  Réaction massive et statistiquement significative (p &lt;&lt; 1%). La Russie fournissait environ 40% du gaz européen via Nord Stream et d'autres gazoducs. Le 
  marché a immédiatement pricé le risque de rupture d'approvisionnement. Ce résultat illustre parfaitement la dépendance énergétique européenne au gaz russe et la vulnérabilité du TTF comme point de référence du gaz en Europe.                                                                  
  Rotterdam Coal : AR ≈ 0% (non significatif)                                                                                                      
  Le charbon réagit peu le jour J. Paradoxal car le charbon est un substitut au gaz, mais le marché a peut-être anticipé que les contraintes      
  réglementaires européennes (EU ETS, Green Deal) limiteraient le retour au charbon. L'effet charbon sera probablement plus visible dans la fenêtre
   d'ajustement.                                                                                                                                   
  3. Finance verte / Énergies renouvelables
  ERIX (European Renewable Energy Index) : AR ≈ +9.2% (positif et significatif)
  Réaction très forte, significative. Le marché interprète immédiatement la guerre comme un accélérateur de la transition énergétique : réduire la 
  dépendance au gaz russe passe par développer massivement les ENR.                                                                                                          
  CLIM : AR ≈ -0.4% (proche de zéro, non significatif)                                                                                             
  Réaction quasi nulle. CLIM représente sans doute un indice plus large incluant des actifs défensifs ou moins directement liés à l'énergie        
  européenne. L'absence de réaction peut aussi refléter un effet de diversification.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</si>
</sst>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yyyy\-mm\-dd"/>
    <numFmt numFmtId="166" formatCode="0.0000"/>
  </numFmts>
  <fonts count="10" x14ac:knownFonts="1">
    <font>
      <sz val="11"/>
      <color theme="1"/>
      <name val="Calibri"/>
      <family val="2"/>
      <scheme val="minor"/>
    </font>
    <font>
      <b/>
      <sz val="13"/>
      <color rgb="FFFFFFFF"/>
      <name val="Calibri"/>
      <family val="2"/>
    </font>
    <font>
      <i/>
      <sz val="11"/>
      <color rgb="FF808080"/>
      <name val="Calibri"/>
      <family val="2"/>
    </font>
    <font>
      <b/>
      <sz val="11"/>
      <name val="Calibri"/>
      <family val="2"/>
    </font>
    <font>
      <b/>
      <sz val="11"/>
      <color rgb="FFFFFFFF"/>
      <name val="Calibri"/>
      <family val="2"/>
    </font>
    <font>
      <sz val="11"/>
      <name val="Calibri"/>
      <family val="2"/>
    </font>
    <font>
      <b/>
      <sz val="14"/>
      <color rgb="FFFFFFFF"/>
      <name val="Calibri"/>
      <family val="2"/>
    </font>
    <font>
      <b/>
      <sz val="11"/>
      <color rgb="FF333333"/>
      <name val="Calibri"/>
      <family val="2"/>
    </font>
    <font>
      <sz val="11"/>
      <color rgb="FF808080"/>
      <name val="Calibri"/>
      <family val="2"/>
    </font>
    <font>
      <sz val="9"/>
      <color rgb="FF444444"/>
      <name val="Calibri"/>
      <family val="2"/>
    </font>
  </fonts>
  <fills count="7">
    <fill>
      <patternFill patternType="none"/>
    </fill>
    <fill>
      <patternFill patternType="gray125"/>
    </fill>
    <fill>
      <patternFill patternType="solid">
        <fgColor rgb="FFD6E4F0"/>
      </patternFill>
    </fill>
    <fill>
      <patternFill patternType="solid">
        <fgColor rgb="FFE2EFDA"/>
      </patternFill>
    </fill>
    <fill>
      <patternFill patternType="solid">
        <fgColor rgb="FFFFD700"/>
      </patternFill>
    </fill>
    <fill>
      <patternFill patternType="solid">
        <fgColor rgb="FFFCE4D6"/>
      </patternFill>
    </fill>
    <fill>
      <patternFill patternType="solid">
        <fgColor theme="0" tint="-0.249977111117893"/>
        <bgColor indexed="64"/>
      </patternFill>
    </fill>
  </fills>
  <borders count="12">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
      <left style="medium">
        <color indexed="64"/>
      </left>
      <right style="thin">
        <color rgb="FFBBBBBB"/>
      </right>
      <top style="medium">
        <color indexed="64"/>
      </top>
      <bottom style="medium">
        <color indexed="64"/>
      </bottom>
      <diagonal/>
    </border>
    <border>
      <left style="thin">
        <color rgb="FFBBBBBB"/>
      </left>
      <right style="thin">
        <color rgb="FFBBBBBB"/>
      </right>
      <top style="medium">
        <color indexed="64"/>
      </top>
      <bottom style="medium">
        <color indexed="64"/>
      </bottom>
      <diagonal/>
    </border>
    <border>
      <left style="thin">
        <color rgb="FFBBBBBB"/>
      </left>
      <right style="medium">
        <color indexed="64"/>
      </right>
      <top style="medium">
        <color indexed="64"/>
      </top>
      <bottom style="medium">
        <color indexed="64"/>
      </bottom>
      <diagonal/>
    </border>
    <border>
      <left style="thin">
        <color rgb="FFBBBBBB"/>
      </left>
      <right style="thin">
        <color rgb="FFBBBBBB"/>
      </right>
      <top style="thin">
        <color rgb="FFBBBBBB"/>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BBBBBB"/>
      </right>
      <top/>
      <bottom style="thin">
        <color rgb="FFBBBBBB"/>
      </bottom>
      <diagonal/>
    </border>
  </borders>
  <cellStyleXfs count="1">
    <xf numFmtId="0" fontId="0" fillId="0" borderId="0"/>
  </cellStyleXfs>
  <cellXfs count="50">
    <xf numFmtId="0" fontId="0" fillId="0" borderId="0" xfId="0"/>
    <xf numFmtId="0" fontId="3" fillId="0" borderId="1" xfId="0" applyFont="1" applyBorder="1"/>
    <xf numFmtId="0" fontId="0" fillId="0" borderId="1" xfId="0" applyBorder="1"/>
    <xf numFmtId="166" fontId="0" fillId="0" borderId="1" xfId="0" applyNumberFormat="1" applyBorder="1" applyAlignment="1">
      <alignment horizontal="center"/>
    </xf>
    <xf numFmtId="164" fontId="0" fillId="0" borderId="1" xfId="0" applyNumberFormat="1" applyBorder="1"/>
    <xf numFmtId="165" fontId="0" fillId="0" borderId="1" xfId="0" applyNumberFormat="1" applyBorder="1"/>
    <xf numFmtId="1" fontId="0" fillId="0" borderId="1" xfId="0" applyNumberFormat="1" applyBorder="1"/>
    <xf numFmtId="164" fontId="0" fillId="0" borderId="1" xfId="0" applyNumberFormat="1" applyBorder="1" applyAlignment="1">
      <alignment horizontal="center"/>
    </xf>
    <xf numFmtId="0" fontId="5" fillId="2" borderId="1" xfId="0" applyFont="1" applyFill="1" applyBorder="1"/>
    <xf numFmtId="164" fontId="0" fillId="4" borderId="1" xfId="0" applyNumberFormat="1" applyFill="1" applyBorder="1" applyAlignment="1">
      <alignment horizontal="center"/>
    </xf>
    <xf numFmtId="0" fontId="5" fillId="3" borderId="1" xfId="0" applyFont="1" applyFill="1" applyBorder="1"/>
    <xf numFmtId="164" fontId="0" fillId="3" borderId="1" xfId="0" applyNumberFormat="1" applyFill="1" applyBorder="1" applyAlignment="1">
      <alignment horizontal="center"/>
    </xf>
    <xf numFmtId="0" fontId="5" fillId="5" borderId="1" xfId="0" applyFont="1" applyFill="1" applyBorder="1"/>
    <xf numFmtId="164" fontId="0" fillId="5" borderId="1" xfId="0" applyNumberFormat="1" applyFill="1" applyBorder="1" applyAlignment="1">
      <alignment horizontal="center"/>
    </xf>
    <xf numFmtId="165" fontId="0" fillId="3" borderId="1" xfId="0" applyNumberFormat="1" applyFill="1" applyBorder="1"/>
    <xf numFmtId="165" fontId="0" fillId="4" borderId="1" xfId="0" applyNumberFormat="1" applyFill="1" applyBorder="1"/>
    <xf numFmtId="165" fontId="0" fillId="5" borderId="1" xfId="0" applyNumberFormat="1" applyFill="1" applyBorder="1"/>
    <xf numFmtId="0" fontId="7" fillId="0" borderId="0" xfId="0" applyFont="1" applyAlignment="1">
      <alignment vertical="center" wrapText="1"/>
    </xf>
    <xf numFmtId="0" fontId="7" fillId="0" borderId="0" xfId="0" applyFont="1" applyAlignment="1">
      <alignment vertical="top" wrapText="1"/>
    </xf>
    <xf numFmtId="0" fontId="8" fillId="0" borderId="0" xfId="0" applyFont="1"/>
    <xf numFmtId="165" fontId="0" fillId="0" borderId="3" xfId="0" applyNumberFormat="1" applyBorder="1"/>
    <xf numFmtId="164" fontId="0" fillId="0" borderId="3" xfId="0" applyNumberFormat="1" applyBorder="1" applyAlignment="1">
      <alignment horizontal="center"/>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5" fillId="0" borderId="1" xfId="0" applyFont="1" applyBorder="1"/>
    <xf numFmtId="0" fontId="9" fillId="3" borderId="0" xfId="0" applyFont="1" applyFill="1"/>
    <xf numFmtId="0" fontId="9" fillId="4" borderId="0" xfId="0" applyFont="1" applyFill="1"/>
    <xf numFmtId="0" fontId="9" fillId="5" borderId="0" xfId="0" applyFont="1" applyFill="1"/>
    <xf numFmtId="0" fontId="2" fillId="0" borderId="0" xfId="0" applyFont="1"/>
    <xf numFmtId="164" fontId="0" fillId="0" borderId="2" xfId="0" applyNumberFormat="1" applyBorder="1" applyAlignment="1">
      <alignment horizontal="center"/>
    </xf>
    <xf numFmtId="0" fontId="5" fillId="0" borderId="0" xfId="0" applyFont="1"/>
    <xf numFmtId="0" fontId="3" fillId="0" borderId="3" xfId="0" applyFont="1" applyBorder="1"/>
    <xf numFmtId="0" fontId="0" fillId="0" borderId="3" xfId="0" applyBorder="1"/>
    <xf numFmtId="166" fontId="0" fillId="0" borderId="3" xfId="0" applyNumberFormat="1" applyBorder="1" applyAlignment="1">
      <alignment horizontal="center"/>
    </xf>
    <xf numFmtId="0" fontId="5" fillId="0" borderId="3" xfId="0" applyFont="1" applyBorder="1"/>
    <xf numFmtId="0" fontId="5" fillId="0" borderId="7" xfId="0" applyFont="1" applyBorder="1"/>
    <xf numFmtId="164" fontId="0" fillId="0" borderId="7" xfId="0" applyNumberFormat="1" applyBorder="1" applyAlignment="1">
      <alignment horizontal="center"/>
    </xf>
    <xf numFmtId="0" fontId="5" fillId="4" borderId="3" xfId="0" applyFont="1" applyFill="1" applyBorder="1"/>
    <xf numFmtId="164" fontId="0" fillId="4" borderId="3" xfId="0" applyNumberFormat="1" applyFill="1" applyBorder="1" applyAlignment="1">
      <alignment horizontal="center"/>
    </xf>
    <xf numFmtId="164" fontId="0" fillId="0" borderId="11" xfId="0" applyNumberFormat="1" applyBorder="1" applyAlignment="1">
      <alignment horizontal="center"/>
    </xf>
    <xf numFmtId="0" fontId="2" fillId="0" borderId="0" xfId="0" applyFont="1" applyAlignment="1">
      <alignment horizontal="center"/>
    </xf>
    <xf numFmtId="0" fontId="0" fillId="0" borderId="0" xfId="0"/>
    <xf numFmtId="0" fontId="6" fillId="6" borderId="8" xfId="0" applyFont="1" applyFill="1" applyBorder="1" applyAlignment="1">
      <alignment horizontal="center" vertical="center"/>
    </xf>
    <xf numFmtId="0" fontId="0" fillId="6" borderId="9" xfId="0" applyFill="1" applyBorder="1"/>
    <xf numFmtId="0" fontId="0" fillId="6" borderId="10" xfId="0" applyFill="1" applyBorder="1"/>
    <xf numFmtId="0" fontId="7" fillId="0" borderId="0" xfId="0" applyFont="1" applyAlignment="1">
      <alignment horizontal="left" vertical="center" wrapText="1"/>
    </xf>
    <xf numFmtId="0" fontId="7" fillId="0" borderId="0" xfId="0" applyFont="1" applyAlignment="1">
      <alignment horizontal="left" vertical="top" wrapText="1"/>
    </xf>
    <xf numFmtId="0" fontId="4" fillId="6" borderId="4" xfId="0" applyFont="1" applyFill="1" applyBorder="1" applyAlignment="1">
      <alignment horizontal="center" vertical="center" wrapText="1"/>
    </xf>
    <xf numFmtId="0" fontId="1" fillId="6" borderId="8"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0</xdr:col>
      <xdr:colOff>0</xdr:colOff>
      <xdr:row>72</xdr:row>
      <xdr:rowOff>0</xdr:rowOff>
    </xdr:from>
    <xdr:ext cx="8572500" cy="2670048"/>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xfrm>
          <a:off x="0" y="14032606"/>
          <a:ext cx="8572500" cy="267004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72</xdr:row>
      <xdr:rowOff>0</xdr:rowOff>
    </xdr:from>
    <xdr:ext cx="8572500" cy="26670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72</xdr:row>
      <xdr:rowOff>0</xdr:rowOff>
    </xdr:from>
    <xdr:ext cx="8572500" cy="26670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72</xdr:row>
      <xdr:rowOff>0</xdr:rowOff>
    </xdr:from>
    <xdr:ext cx="8572500" cy="266700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72</xdr:row>
      <xdr:rowOff>0</xdr:rowOff>
    </xdr:from>
    <xdr:ext cx="8572500" cy="266700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72</xdr:row>
      <xdr:rowOff>0</xdr:rowOff>
    </xdr:from>
    <xdr:ext cx="8572500" cy="2667000"/>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F813801-41CE-B041-A466-D0C9C32A1BB2}">
  <we:reference id="wa200009404" version="1.0.0.8" store="en-US" storeType="OMEX"/>
  <we:alternateReferences>
    <we:reference id="wa200009404" version="1.0.0.8" store="" storeType="OMEX"/>
  </we:alternateReferences>
  <we:properties>
    <we:property name="claude.fileId" value="&quot;b3a6c7b5-061b-4068-b020-8d919f570cad&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2"/>
  <sheetViews>
    <sheetView tabSelected="1" zoomScale="75" zoomScaleNormal="60" workbookViewId="0">
      <selection activeCell="J22" sqref="J22"/>
    </sheetView>
  </sheetViews>
  <sheetFormatPr baseColWidth="10" defaultColWidth="8.83203125" defaultRowHeight="15" x14ac:dyDescent="0.2"/>
  <cols>
    <col min="1" max="1" width="22" customWidth="1"/>
    <col min="2" max="2" width="26" customWidth="1"/>
    <col min="3" max="12" width="14" customWidth="1"/>
  </cols>
  <sheetData>
    <row r="1" spans="1:19" ht="28" customHeight="1" thickBot="1" x14ac:dyDescent="0.25">
      <c r="A1" s="43" t="s">
        <v>79</v>
      </c>
      <c r="B1" s="44"/>
      <c r="C1" s="44"/>
      <c r="D1" s="44"/>
      <c r="E1" s="44"/>
      <c r="F1" s="44"/>
      <c r="G1" s="44"/>
      <c r="H1" s="44"/>
      <c r="I1" s="44"/>
      <c r="J1" s="44"/>
      <c r="K1" s="44"/>
      <c r="L1" s="45"/>
    </row>
    <row r="2" spans="1:19" x14ac:dyDescent="0.2">
      <c r="A2" s="41"/>
      <c r="B2" s="42"/>
      <c r="C2" s="42"/>
      <c r="D2" s="42"/>
      <c r="E2" s="42"/>
      <c r="F2" s="42"/>
      <c r="G2" s="42"/>
      <c r="H2" s="42"/>
      <c r="I2" s="42"/>
      <c r="J2" s="42"/>
      <c r="K2" s="42"/>
      <c r="L2" s="42"/>
    </row>
    <row r="3" spans="1:19" ht="16" thickBot="1" x14ac:dyDescent="0.25"/>
    <row r="4" spans="1:19" ht="48" customHeight="1" thickBot="1" x14ac:dyDescent="0.25">
      <c r="A4" s="22" t="s">
        <v>0</v>
      </c>
      <c r="B4" s="23" t="s">
        <v>1</v>
      </c>
      <c r="C4" s="23" t="s">
        <v>2</v>
      </c>
      <c r="D4" s="23" t="s">
        <v>3</v>
      </c>
      <c r="E4" s="23" t="s">
        <v>4</v>
      </c>
      <c r="F4" s="23" t="s">
        <v>5</v>
      </c>
      <c r="G4" s="23" t="s">
        <v>6</v>
      </c>
      <c r="H4" s="23" t="s">
        <v>7</v>
      </c>
      <c r="I4" s="23" t="s">
        <v>8</v>
      </c>
      <c r="J4" s="23" t="s">
        <v>9</v>
      </c>
      <c r="K4" s="23" t="s">
        <v>10</v>
      </c>
      <c r="L4" s="24" t="s">
        <v>11</v>
      </c>
    </row>
    <row r="5" spans="1:19" x14ac:dyDescent="0.2">
      <c r="A5" s="32" t="s">
        <v>12</v>
      </c>
      <c r="B5" s="33" t="s">
        <v>13</v>
      </c>
      <c r="C5" s="34">
        <f>'EU ETS Carbon'!D60</f>
        <v>-8.6573382741292587E-2</v>
      </c>
      <c r="D5" s="34">
        <f>'EU ETS Carbon'!E60</f>
        <v>-4.853196043375041E-2</v>
      </c>
      <c r="E5" s="34">
        <f>'EU ETS Carbon'!F60</f>
        <v>-8.1955875997070673E-2</v>
      </c>
      <c r="F5" s="34">
        <f>'EU ETS Carbon'!I31</f>
        <v>3.2196749292396923E-2</v>
      </c>
      <c r="G5" s="34">
        <f>'EU ETS Carbon'!J31</f>
        <v>0.10554448631235783</v>
      </c>
      <c r="H5" s="34">
        <f>'EU ETS Carbon'!K31</f>
        <v>3.7412625741034544E-2</v>
      </c>
      <c r="I5" s="34">
        <f>'EU ETS Carbon'!I32</f>
        <v>-8.226107432912648E-2</v>
      </c>
      <c r="J5" s="34">
        <f>'EU ETS Carbon'!J32</f>
        <v>-5.3858202387317616E-2</v>
      </c>
      <c r="K5" s="34">
        <f>'EU ETS Carbon'!K32</f>
        <v>-8.3040333776186359E-2</v>
      </c>
      <c r="L5" s="34">
        <f>'EU ETS Carbon'!K42</f>
        <v>5.1848840870854247E-3</v>
      </c>
    </row>
    <row r="6" spans="1:19" x14ac:dyDescent="0.2">
      <c r="A6" s="1" t="s">
        <v>14</v>
      </c>
      <c r="B6" s="2" t="s">
        <v>15</v>
      </c>
      <c r="C6" s="3">
        <f>'ERIX (ENR Europe)'!D60</f>
        <v>9.1516325059412124E-2</v>
      </c>
      <c r="D6" s="3">
        <f>'ERIX (ENR Europe)'!E60</f>
        <v>0.12589868468887133</v>
      </c>
      <c r="E6" s="3">
        <f>'ERIX (ENR Europe)'!F60</f>
        <v>0.13232384409666301</v>
      </c>
      <c r="F6" s="3">
        <f>'ERIX (ENR Europe)'!I31</f>
        <v>-8.1301731609952008E-3</v>
      </c>
      <c r="G6" s="3">
        <f>'ERIX (ENR Europe)'!J31</f>
        <v>2.8626937078136027E-2</v>
      </c>
      <c r="H6" s="3">
        <f>'ERIX (ENR Europe)'!K31</f>
        <v>3.7965477427945114E-2</v>
      </c>
      <c r="I6" s="3">
        <f>'ERIX (ENR Europe)'!I32</f>
        <v>0.13927917304498</v>
      </c>
      <c r="J6" s="3">
        <f>'ERIX (ENR Europe)'!J32</f>
        <v>0.16160922502673736</v>
      </c>
      <c r="K6" s="3">
        <f>'ERIX (ENR Europe)'!K32</f>
        <v>0.1683677579149617</v>
      </c>
      <c r="L6" s="3">
        <f>'ERIX (ENR Europe)'!K42</f>
        <v>7.017250682756498E-6</v>
      </c>
    </row>
    <row r="7" spans="1:19" x14ac:dyDescent="0.2">
      <c r="A7" s="1" t="s">
        <v>16</v>
      </c>
      <c r="B7" s="2" t="s">
        <v>15</v>
      </c>
      <c r="C7" s="3">
        <f>'CLIM (Finance Verte)'!D60</f>
        <v>-3.9207432537584274E-3</v>
      </c>
      <c r="D7" s="3">
        <f>'CLIM (Finance Verte)'!E60</f>
        <v>3.0862543306920953E-2</v>
      </c>
      <c r="E7" s="3">
        <f>'CLIM (Finance Verte)'!F60</f>
        <v>-2.3209369274870299E-3</v>
      </c>
      <c r="F7" s="3">
        <f>'CLIM (Finance Verte)'!I31</f>
        <v>1.0480333055586624E-2</v>
      </c>
      <c r="G7" s="3">
        <f>'CLIM (Finance Verte)'!J31</f>
        <v>5.1246712606919605E-2</v>
      </c>
      <c r="H7" s="3">
        <f>'CLIM (Finance Verte)'!K31</f>
        <v>1.2287453781511316E-2</v>
      </c>
      <c r="I7" s="3">
        <f>'CLIM (Finance Verte)'!I32</f>
        <v>1.2325687472798955E-2</v>
      </c>
      <c r="J7" s="3">
        <f>'CLIM (Finance Verte)'!J32</f>
        <v>3.8665008766758047E-2</v>
      </c>
      <c r="K7" s="3">
        <f>'CLIM (Finance Verte)'!K32</f>
        <v>1.3466068049594104E-2</v>
      </c>
      <c r="L7" s="3">
        <f>'CLIM (Finance Verte)'!K42</f>
        <v>0.50535630148770228</v>
      </c>
    </row>
    <row r="8" spans="1:19" x14ac:dyDescent="0.2">
      <c r="A8" s="1" t="s">
        <v>17</v>
      </c>
      <c r="B8" s="2" t="s">
        <v>18</v>
      </c>
      <c r="C8" s="3">
        <f>'Brent Oil'!D60</f>
        <v>1.8018536284331813E-2</v>
      </c>
      <c r="D8" s="3">
        <f>'Brent Oil'!E60</f>
        <v>5.9402018699183157E-2</v>
      </c>
      <c r="E8" s="3">
        <f>'Brent Oil'!F60</f>
        <v>2.4493424970112206E-2</v>
      </c>
      <c r="F8" s="3">
        <f>'Brent Oil'!I31</f>
        <v>7.0320406255246614E-3</v>
      </c>
      <c r="G8" s="3">
        <f>'Brent Oil'!J31</f>
        <v>0.11380037871857729</v>
      </c>
      <c r="H8" s="3">
        <f>'Brent Oil'!K31</f>
        <v>1.4345991914490909E-2</v>
      </c>
      <c r="I8" s="3">
        <f>'Brent Oil'!I32</f>
        <v>6.516657953279506E-2</v>
      </c>
      <c r="J8" s="3">
        <f>'Brent Oil'!J32</f>
        <v>0.15750785936847381</v>
      </c>
      <c r="K8" s="3">
        <f>'Brent Oil'!K32</f>
        <v>6.9782036524632163E-2</v>
      </c>
      <c r="L8" s="3">
        <f>'Brent Oil'!K42</f>
        <v>0.10367880211026383</v>
      </c>
    </row>
    <row r="9" spans="1:19" x14ac:dyDescent="0.2">
      <c r="A9" s="1" t="s">
        <v>19</v>
      </c>
      <c r="B9" s="2" t="s">
        <v>18</v>
      </c>
      <c r="C9" s="3">
        <f>'TTF Natural Gas'!D60</f>
        <v>0.51713827826424708</v>
      </c>
      <c r="D9" s="3">
        <f>'TTF Natural Gas'!E60</f>
        <v>0.54729019436616333</v>
      </c>
      <c r="E9" s="3">
        <f>'TTF Natural Gas'!F60</f>
        <v>0.40644489970072545</v>
      </c>
      <c r="F9" s="3">
        <f>'TTF Natural Gas'!I31</f>
        <v>0.26240796522681609</v>
      </c>
      <c r="G9" s="3">
        <f>'TTF Natural Gas'!J31</f>
        <v>0.25686064019051791</v>
      </c>
      <c r="H9" s="3">
        <f>'TTF Natural Gas'!K31</f>
        <v>0.13737014324808661</v>
      </c>
      <c r="I9" s="3">
        <f>'TTF Natural Gas'!I32</f>
        <v>0.23346004969914344</v>
      </c>
      <c r="J9" s="3">
        <f>'TTF Natural Gas'!J32</f>
        <v>0.21348566640547126</v>
      </c>
      <c r="K9" s="3">
        <f>'TTF Natural Gas'!K32</f>
        <v>0.15455513676016441</v>
      </c>
      <c r="L9" s="3">
        <f>'TTF Natural Gas'!K42</f>
        <v>2.7028993081975559E-8</v>
      </c>
    </row>
    <row r="10" spans="1:19" x14ac:dyDescent="0.2">
      <c r="A10" s="1" t="s">
        <v>20</v>
      </c>
      <c r="B10" s="2" t="s">
        <v>18</v>
      </c>
      <c r="C10" s="3">
        <f>'Rotterdam Coal'!D60</f>
        <v>-4.2458682432086961E-5</v>
      </c>
      <c r="D10" s="3">
        <f>'Rotterdam Coal'!E60</f>
        <v>4.912185473913111E-2</v>
      </c>
      <c r="E10" s="3">
        <f>'Rotterdam Coal'!F60</f>
        <v>-6.8143899347223192E-3</v>
      </c>
      <c r="F10" s="3">
        <f>'Rotterdam Coal'!I31</f>
        <v>-0.11295537255094276</v>
      </c>
      <c r="G10" s="3">
        <f>'Rotterdam Coal'!J31</f>
        <v>7.1621275609228374E-2</v>
      </c>
      <c r="H10" s="3">
        <f>'Rotterdam Coal'!K31</f>
        <v>-0.12060485931667693</v>
      </c>
      <c r="I10" s="3">
        <f>'Rotterdam Coal'!I32</f>
        <v>0.6925256431485618</v>
      </c>
      <c r="J10" s="3">
        <f>'Rotterdam Coal'!J32</f>
        <v>0.8626752330513594</v>
      </c>
      <c r="K10" s="3">
        <f>'Rotterdam Coal'!K32</f>
        <v>0.68769844704320438</v>
      </c>
      <c r="L10" s="3">
        <f>'Rotterdam Coal'!K42</f>
        <v>0.78777373796534589</v>
      </c>
    </row>
    <row r="13" spans="1:19" ht="15" customHeight="1" x14ac:dyDescent="0.2">
      <c r="A13" s="46" t="s">
        <v>80</v>
      </c>
      <c r="B13" s="46"/>
      <c r="C13" s="46"/>
      <c r="D13" s="46"/>
      <c r="E13" s="46"/>
      <c r="F13" s="46"/>
      <c r="G13" s="46"/>
      <c r="H13" s="46"/>
      <c r="I13" s="47" t="s">
        <v>64</v>
      </c>
      <c r="J13" s="47"/>
      <c r="K13" s="47"/>
      <c r="L13" s="47"/>
      <c r="M13" s="47"/>
      <c r="N13" s="47"/>
      <c r="O13" s="47"/>
      <c r="P13" s="47"/>
      <c r="Q13" s="47"/>
      <c r="R13" s="18"/>
      <c r="S13" s="18"/>
    </row>
    <row r="14" spans="1:19" x14ac:dyDescent="0.2">
      <c r="A14" s="46"/>
      <c r="B14" s="46"/>
      <c r="C14" s="46"/>
      <c r="D14" s="46"/>
      <c r="E14" s="46"/>
      <c r="F14" s="46"/>
      <c r="G14" s="46"/>
      <c r="H14" s="46"/>
      <c r="I14" s="47"/>
      <c r="J14" s="47"/>
      <c r="K14" s="47"/>
      <c r="L14" s="47"/>
      <c r="M14" s="47"/>
      <c r="N14" s="47"/>
      <c r="O14" s="47"/>
      <c r="P14" s="47"/>
      <c r="Q14" s="47"/>
      <c r="R14" s="18"/>
      <c r="S14" s="18"/>
    </row>
    <row r="15" spans="1:19" x14ac:dyDescent="0.2">
      <c r="A15" s="46"/>
      <c r="B15" s="46"/>
      <c r="C15" s="46"/>
      <c r="D15" s="46"/>
      <c r="E15" s="46"/>
      <c r="F15" s="46"/>
      <c r="G15" s="46"/>
      <c r="H15" s="46"/>
      <c r="I15" s="47"/>
      <c r="J15" s="47"/>
      <c r="K15" s="47"/>
      <c r="L15" s="47"/>
      <c r="M15" s="47"/>
      <c r="N15" s="47"/>
      <c r="O15" s="47"/>
      <c r="P15" s="47"/>
      <c r="Q15" s="47"/>
      <c r="R15" s="18"/>
      <c r="S15" s="18"/>
    </row>
    <row r="16" spans="1:19" x14ac:dyDescent="0.2">
      <c r="A16" s="46"/>
      <c r="B16" s="46"/>
      <c r="C16" s="46"/>
      <c r="D16" s="46"/>
      <c r="E16" s="46"/>
      <c r="F16" s="46"/>
      <c r="G16" s="46"/>
      <c r="H16" s="46"/>
      <c r="I16" s="47"/>
      <c r="J16" s="47"/>
      <c r="K16" s="47"/>
      <c r="L16" s="47"/>
      <c r="M16" s="47"/>
      <c r="N16" s="47"/>
      <c r="O16" s="47"/>
      <c r="P16" s="47"/>
      <c r="Q16" s="47"/>
      <c r="R16" s="18"/>
      <c r="S16" s="18"/>
    </row>
    <row r="17" spans="1:19" x14ac:dyDescent="0.2">
      <c r="A17" s="46"/>
      <c r="B17" s="46"/>
      <c r="C17" s="46"/>
      <c r="D17" s="46"/>
      <c r="E17" s="46"/>
      <c r="F17" s="46"/>
      <c r="G17" s="46"/>
      <c r="H17" s="46"/>
      <c r="I17" s="47"/>
      <c r="J17" s="47"/>
      <c r="K17" s="47"/>
      <c r="L17" s="47"/>
      <c r="M17" s="47"/>
      <c r="N17" s="47"/>
      <c r="O17" s="47"/>
      <c r="P17" s="47"/>
      <c r="Q17" s="47"/>
      <c r="R17" s="18"/>
      <c r="S17" s="18"/>
    </row>
    <row r="18" spans="1:19" x14ac:dyDescent="0.2">
      <c r="A18" s="46"/>
      <c r="B18" s="46"/>
      <c r="C18" s="46"/>
      <c r="D18" s="46"/>
      <c r="E18" s="46"/>
      <c r="F18" s="46"/>
      <c r="G18" s="46"/>
      <c r="H18" s="46"/>
      <c r="I18" s="47"/>
      <c r="J18" s="47"/>
      <c r="K18" s="47"/>
      <c r="L18" s="47"/>
      <c r="M18" s="47"/>
      <c r="N18" s="47"/>
      <c r="O18" s="47"/>
      <c r="P18" s="47"/>
      <c r="Q18" s="47"/>
      <c r="R18" s="18"/>
      <c r="S18" s="18"/>
    </row>
    <row r="19" spans="1:19" x14ac:dyDescent="0.2">
      <c r="A19" s="46"/>
      <c r="B19" s="46"/>
      <c r="C19" s="46"/>
      <c r="D19" s="46"/>
      <c r="E19" s="46"/>
      <c r="F19" s="46"/>
      <c r="G19" s="46"/>
      <c r="H19" s="46"/>
      <c r="I19" s="18"/>
      <c r="J19" s="18"/>
      <c r="K19" s="18"/>
      <c r="L19" s="18"/>
      <c r="M19" s="18"/>
      <c r="N19" s="18"/>
      <c r="O19" s="18"/>
      <c r="P19" s="18"/>
      <c r="Q19" s="18"/>
      <c r="R19" s="18"/>
      <c r="S19" s="18"/>
    </row>
    <row r="20" spans="1:19" x14ac:dyDescent="0.2">
      <c r="A20" s="46"/>
      <c r="B20" s="46"/>
      <c r="C20" s="46"/>
      <c r="D20" s="46"/>
      <c r="E20" s="46"/>
      <c r="F20" s="46"/>
      <c r="G20" s="46"/>
      <c r="H20" s="46"/>
      <c r="I20" s="18"/>
      <c r="J20" s="18"/>
      <c r="K20" s="18"/>
      <c r="L20" s="18"/>
      <c r="M20" s="18"/>
      <c r="N20" s="18"/>
      <c r="O20" s="18"/>
      <c r="P20" s="18"/>
      <c r="Q20" s="18"/>
      <c r="R20" s="18"/>
      <c r="S20" s="18"/>
    </row>
    <row r="21" spans="1:19" x14ac:dyDescent="0.2">
      <c r="A21" s="46"/>
      <c r="B21" s="46"/>
      <c r="C21" s="46"/>
      <c r="D21" s="46"/>
      <c r="E21" s="46"/>
      <c r="F21" s="46"/>
      <c r="G21" s="46"/>
      <c r="H21" s="46"/>
      <c r="I21" s="18"/>
      <c r="J21" s="18"/>
      <c r="K21" s="18"/>
      <c r="L21" s="18"/>
      <c r="M21" s="18"/>
      <c r="N21" s="18"/>
      <c r="O21" s="18"/>
      <c r="P21" s="18"/>
      <c r="Q21" s="18"/>
      <c r="R21" s="18"/>
      <c r="S21" s="18"/>
    </row>
    <row r="22" spans="1:19" x14ac:dyDescent="0.2">
      <c r="A22" s="46"/>
      <c r="B22" s="46"/>
      <c r="C22" s="46"/>
      <c r="D22" s="46"/>
      <c r="E22" s="46"/>
      <c r="F22" s="46"/>
      <c r="G22" s="46"/>
      <c r="H22" s="46"/>
      <c r="I22" s="18"/>
      <c r="J22" s="18"/>
      <c r="K22" s="18"/>
      <c r="L22" s="18"/>
      <c r="M22" s="18"/>
      <c r="N22" s="18"/>
      <c r="O22" s="18"/>
      <c r="P22" s="18"/>
      <c r="Q22" s="18"/>
      <c r="R22" s="18"/>
      <c r="S22" s="18"/>
    </row>
    <row r="23" spans="1:19" x14ac:dyDescent="0.2">
      <c r="A23" s="46"/>
      <c r="B23" s="46"/>
      <c r="C23" s="46"/>
      <c r="D23" s="46"/>
      <c r="E23" s="46"/>
      <c r="F23" s="46"/>
      <c r="G23" s="46"/>
      <c r="H23" s="46"/>
      <c r="I23" s="18"/>
      <c r="J23" s="18"/>
      <c r="K23" s="18"/>
      <c r="L23" s="18"/>
      <c r="M23" s="18"/>
      <c r="N23" s="18"/>
      <c r="O23" s="18"/>
      <c r="P23" s="18"/>
      <c r="Q23" s="18"/>
      <c r="R23" s="18"/>
      <c r="S23" s="18"/>
    </row>
    <row r="24" spans="1:19" x14ac:dyDescent="0.2">
      <c r="A24" s="46"/>
      <c r="B24" s="46"/>
      <c r="C24" s="46"/>
      <c r="D24" s="46"/>
      <c r="E24" s="46"/>
      <c r="F24" s="46"/>
      <c r="G24" s="46"/>
      <c r="H24" s="46"/>
      <c r="I24" s="18"/>
      <c r="J24" s="18"/>
      <c r="K24" s="18"/>
      <c r="L24" s="18"/>
      <c r="M24" s="18"/>
      <c r="N24" s="18"/>
      <c r="O24" s="18"/>
      <c r="P24" s="18"/>
      <c r="Q24" s="18"/>
      <c r="R24" s="18"/>
      <c r="S24" s="18"/>
    </row>
    <row r="25" spans="1:19" x14ac:dyDescent="0.2">
      <c r="A25" s="46"/>
      <c r="B25" s="46"/>
      <c r="C25" s="46"/>
      <c r="D25" s="46"/>
      <c r="E25" s="46"/>
      <c r="F25" s="46"/>
      <c r="G25" s="46"/>
      <c r="H25" s="46"/>
      <c r="I25" s="18"/>
      <c r="J25" s="18"/>
      <c r="K25" s="18"/>
      <c r="L25" s="18"/>
      <c r="M25" s="18"/>
      <c r="N25" s="18"/>
      <c r="O25" s="18"/>
      <c r="P25" s="18"/>
      <c r="Q25" s="18"/>
      <c r="R25" s="18"/>
      <c r="S25" s="18"/>
    </row>
    <row r="26" spans="1:19" x14ac:dyDescent="0.2">
      <c r="A26" s="46"/>
      <c r="B26" s="46"/>
      <c r="C26" s="46"/>
      <c r="D26" s="46"/>
      <c r="E26" s="46"/>
      <c r="F26" s="46"/>
      <c r="G26" s="46"/>
      <c r="H26" s="46"/>
      <c r="I26" s="18"/>
      <c r="J26" s="18"/>
      <c r="K26" s="18"/>
      <c r="L26" s="18"/>
      <c r="M26" s="18"/>
      <c r="N26" s="18"/>
      <c r="O26" s="18"/>
      <c r="P26" s="18"/>
      <c r="Q26" s="18"/>
      <c r="R26" s="18"/>
      <c r="S26" s="18"/>
    </row>
    <row r="27" spans="1:19" x14ac:dyDescent="0.2">
      <c r="A27" s="46"/>
      <c r="B27" s="46"/>
      <c r="C27" s="46"/>
      <c r="D27" s="46"/>
      <c r="E27" s="46"/>
      <c r="F27" s="46"/>
      <c r="G27" s="46"/>
      <c r="H27" s="46"/>
      <c r="I27" s="18"/>
      <c r="J27" s="18"/>
      <c r="K27" s="18"/>
      <c r="L27" s="18"/>
      <c r="M27" s="18"/>
      <c r="N27" s="18"/>
      <c r="O27" s="18"/>
      <c r="P27" s="18"/>
      <c r="Q27" s="18"/>
      <c r="R27" s="18"/>
      <c r="S27" s="18"/>
    </row>
    <row r="28" spans="1:19" x14ac:dyDescent="0.2">
      <c r="A28" s="46"/>
      <c r="B28" s="46"/>
      <c r="C28" s="46"/>
      <c r="D28" s="46"/>
      <c r="E28" s="46"/>
      <c r="F28" s="46"/>
      <c r="G28" s="46"/>
      <c r="H28" s="46"/>
      <c r="I28" s="18"/>
      <c r="J28" s="18"/>
      <c r="K28" s="18"/>
      <c r="L28" s="18"/>
      <c r="M28" s="18"/>
      <c r="N28" s="18"/>
      <c r="O28" s="18"/>
      <c r="P28" s="18"/>
      <c r="Q28" s="18"/>
      <c r="R28" s="18"/>
      <c r="S28" s="18"/>
    </row>
    <row r="29" spans="1:19" x14ac:dyDescent="0.2">
      <c r="A29" s="46"/>
      <c r="B29" s="46"/>
      <c r="C29" s="46"/>
      <c r="D29" s="46"/>
      <c r="E29" s="46"/>
      <c r="F29" s="46"/>
      <c r="G29" s="46"/>
      <c r="H29" s="46"/>
      <c r="I29" s="18"/>
      <c r="J29" s="18"/>
      <c r="K29" s="18"/>
      <c r="L29" s="18"/>
      <c r="M29" s="18"/>
      <c r="N29" s="18"/>
      <c r="O29" s="18"/>
      <c r="P29" s="18"/>
      <c r="Q29" s="18"/>
      <c r="R29" s="18"/>
      <c r="S29" s="18"/>
    </row>
    <row r="30" spans="1:19" x14ac:dyDescent="0.2">
      <c r="A30" s="46"/>
      <c r="B30" s="46"/>
      <c r="C30" s="46"/>
      <c r="D30" s="46"/>
      <c r="E30" s="46"/>
      <c r="F30" s="46"/>
      <c r="G30" s="46"/>
      <c r="H30" s="46"/>
      <c r="I30" s="18"/>
      <c r="J30" s="18"/>
      <c r="K30" s="18"/>
      <c r="L30" s="18"/>
      <c r="M30" s="18"/>
      <c r="N30" s="18"/>
      <c r="O30" s="18"/>
      <c r="P30" s="18"/>
      <c r="Q30" s="18"/>
      <c r="R30" s="18"/>
      <c r="S30" s="18"/>
    </row>
    <row r="31" spans="1:19" x14ac:dyDescent="0.2">
      <c r="A31" s="46"/>
      <c r="B31" s="46"/>
      <c r="C31" s="46"/>
      <c r="D31" s="46"/>
      <c r="E31" s="46"/>
      <c r="F31" s="46"/>
      <c r="G31" s="46"/>
      <c r="H31" s="46"/>
      <c r="I31" s="18"/>
      <c r="J31" s="18"/>
      <c r="K31" s="18"/>
      <c r="L31" s="18"/>
      <c r="M31" s="18"/>
      <c r="N31" s="18"/>
      <c r="O31" s="18"/>
      <c r="P31" s="18"/>
      <c r="Q31" s="18"/>
      <c r="R31" s="18"/>
      <c r="S31" s="18"/>
    </row>
    <row r="32" spans="1:19" x14ac:dyDescent="0.2">
      <c r="A32" s="46"/>
      <c r="B32" s="46"/>
      <c r="C32" s="46"/>
      <c r="D32" s="46"/>
      <c r="E32" s="46"/>
      <c r="F32" s="46"/>
      <c r="G32" s="46"/>
      <c r="H32" s="46"/>
      <c r="I32" s="18"/>
      <c r="J32" s="18"/>
      <c r="K32" s="18"/>
      <c r="L32" s="18"/>
      <c r="M32" s="18"/>
      <c r="N32" s="18"/>
      <c r="O32" s="18"/>
      <c r="P32" s="18"/>
      <c r="Q32" s="18"/>
      <c r="R32" s="18"/>
      <c r="S32" s="18"/>
    </row>
    <row r="33" spans="1:19" x14ac:dyDescent="0.2">
      <c r="A33" s="46"/>
      <c r="B33" s="46"/>
      <c r="C33" s="46"/>
      <c r="D33" s="46"/>
      <c r="E33" s="46"/>
      <c r="F33" s="46"/>
      <c r="G33" s="46"/>
      <c r="H33" s="46"/>
      <c r="I33" s="18"/>
      <c r="J33" s="18"/>
      <c r="K33" s="18"/>
      <c r="L33" s="18"/>
      <c r="M33" s="18"/>
      <c r="N33" s="18"/>
      <c r="O33" s="18"/>
      <c r="P33" s="18"/>
      <c r="Q33" s="18"/>
      <c r="R33" s="18"/>
      <c r="S33" s="18"/>
    </row>
    <row r="34" spans="1:19" x14ac:dyDescent="0.2">
      <c r="A34" s="46"/>
      <c r="B34" s="46"/>
      <c r="C34" s="46"/>
      <c r="D34" s="46"/>
      <c r="E34" s="46"/>
      <c r="F34" s="46"/>
      <c r="G34" s="46"/>
      <c r="H34" s="46"/>
      <c r="I34" s="17"/>
      <c r="J34" s="17"/>
      <c r="K34" s="17"/>
      <c r="L34" s="17"/>
    </row>
    <row r="35" spans="1:19" x14ac:dyDescent="0.2">
      <c r="A35" s="46"/>
      <c r="B35" s="46"/>
      <c r="C35" s="46"/>
      <c r="D35" s="46"/>
      <c r="E35" s="46"/>
      <c r="F35" s="46"/>
      <c r="G35" s="46"/>
      <c r="H35" s="46"/>
      <c r="I35" s="17"/>
      <c r="J35" s="17"/>
      <c r="K35" s="17"/>
      <c r="L35" s="17"/>
    </row>
    <row r="36" spans="1:19" x14ac:dyDescent="0.2">
      <c r="A36" s="46"/>
      <c r="B36" s="46"/>
      <c r="C36" s="46"/>
      <c r="D36" s="46"/>
      <c r="E36" s="46"/>
      <c r="F36" s="46"/>
      <c r="G36" s="46"/>
      <c r="H36" s="46"/>
      <c r="I36" s="17"/>
      <c r="J36" s="17"/>
      <c r="K36" s="17"/>
      <c r="L36" s="17"/>
    </row>
    <row r="37" spans="1:19" x14ac:dyDescent="0.2">
      <c r="A37" s="46"/>
      <c r="B37" s="46"/>
      <c r="C37" s="46"/>
      <c r="D37" s="46"/>
      <c r="E37" s="46"/>
      <c r="F37" s="46"/>
      <c r="G37" s="46"/>
      <c r="H37" s="46"/>
      <c r="I37" s="17"/>
      <c r="J37" s="17"/>
      <c r="K37" s="17"/>
      <c r="L37" s="17"/>
    </row>
    <row r="38" spans="1:19" x14ac:dyDescent="0.2">
      <c r="A38" s="46"/>
      <c r="B38" s="46"/>
      <c r="C38" s="46"/>
      <c r="D38" s="46"/>
      <c r="E38" s="46"/>
      <c r="F38" s="46"/>
      <c r="G38" s="46"/>
      <c r="H38" s="46"/>
      <c r="I38" s="17"/>
      <c r="J38" s="17"/>
      <c r="K38" s="17"/>
      <c r="L38" s="17"/>
    </row>
    <row r="39" spans="1:19" x14ac:dyDescent="0.2">
      <c r="A39" s="46"/>
      <c r="B39" s="46"/>
      <c r="C39" s="46"/>
      <c r="D39" s="46"/>
      <c r="E39" s="46"/>
      <c r="F39" s="46"/>
      <c r="G39" s="46"/>
      <c r="H39" s="46"/>
      <c r="I39" s="17"/>
      <c r="J39" s="17"/>
      <c r="K39" s="17"/>
      <c r="L39" s="17"/>
    </row>
    <row r="40" spans="1:19" x14ac:dyDescent="0.2">
      <c r="A40" s="46"/>
      <c r="B40" s="46"/>
      <c r="C40" s="46"/>
      <c r="D40" s="46"/>
      <c r="E40" s="46"/>
      <c r="F40" s="46"/>
      <c r="G40" s="46"/>
      <c r="H40" s="46"/>
      <c r="I40" s="17"/>
      <c r="J40" s="17"/>
      <c r="K40" s="17"/>
      <c r="L40" s="17"/>
    </row>
    <row r="41" spans="1:19" x14ac:dyDescent="0.2">
      <c r="A41" s="46"/>
      <c r="B41" s="46"/>
      <c r="C41" s="46"/>
      <c r="D41" s="46"/>
      <c r="E41" s="46"/>
      <c r="F41" s="46"/>
      <c r="G41" s="46"/>
      <c r="H41" s="46"/>
      <c r="I41" s="17"/>
      <c r="J41" s="17"/>
      <c r="K41" s="17"/>
      <c r="L41" s="17"/>
    </row>
    <row r="42" spans="1:19" x14ac:dyDescent="0.2">
      <c r="A42" s="46"/>
      <c r="B42" s="46"/>
      <c r="C42" s="46"/>
      <c r="D42" s="46"/>
      <c r="E42" s="46"/>
      <c r="F42" s="46"/>
      <c r="G42" s="46"/>
      <c r="H42" s="46"/>
      <c r="I42" s="17"/>
      <c r="J42" s="17"/>
      <c r="K42" s="17"/>
      <c r="L42" s="17"/>
    </row>
    <row r="43" spans="1:19" x14ac:dyDescent="0.2">
      <c r="A43" s="46"/>
      <c r="B43" s="46"/>
      <c r="C43" s="46"/>
      <c r="D43" s="46"/>
      <c r="E43" s="46"/>
      <c r="F43" s="46"/>
      <c r="G43" s="46"/>
      <c r="H43" s="46"/>
      <c r="I43" s="17"/>
      <c r="J43" s="17"/>
      <c r="K43" s="17"/>
      <c r="L43" s="17"/>
    </row>
    <row r="44" spans="1:19" x14ac:dyDescent="0.2">
      <c r="A44" s="46"/>
      <c r="B44" s="46"/>
      <c r="C44" s="46"/>
      <c r="D44" s="46"/>
      <c r="E44" s="46"/>
      <c r="F44" s="46"/>
      <c r="G44" s="46"/>
      <c r="H44" s="46"/>
      <c r="I44" s="17"/>
      <c r="J44" s="17"/>
      <c r="K44" s="17"/>
      <c r="L44" s="17"/>
    </row>
    <row r="45" spans="1:19" x14ac:dyDescent="0.2">
      <c r="A45" s="46"/>
      <c r="B45" s="46"/>
      <c r="C45" s="46"/>
      <c r="D45" s="46"/>
      <c r="E45" s="46"/>
      <c r="F45" s="46"/>
      <c r="G45" s="46"/>
      <c r="H45" s="46"/>
      <c r="I45" s="17"/>
      <c r="J45" s="17"/>
      <c r="K45" s="17"/>
      <c r="L45" s="17"/>
    </row>
    <row r="46" spans="1:19" x14ac:dyDescent="0.2">
      <c r="A46" s="46"/>
      <c r="B46" s="46"/>
      <c r="C46" s="46"/>
      <c r="D46" s="46"/>
      <c r="E46" s="46"/>
      <c r="F46" s="46"/>
      <c r="G46" s="46"/>
      <c r="H46" s="46"/>
      <c r="I46" s="17"/>
      <c r="J46" s="17"/>
      <c r="K46" s="17"/>
      <c r="L46" s="17"/>
    </row>
    <row r="47" spans="1:19" x14ac:dyDescent="0.2">
      <c r="A47" s="46"/>
      <c r="B47" s="46"/>
      <c r="C47" s="46"/>
      <c r="D47" s="46"/>
      <c r="E47" s="46"/>
      <c r="F47" s="46"/>
      <c r="G47" s="46"/>
      <c r="H47" s="46"/>
      <c r="I47" s="17"/>
      <c r="J47" s="17"/>
      <c r="K47" s="17"/>
      <c r="L47" s="17"/>
    </row>
    <row r="48" spans="1:19" x14ac:dyDescent="0.2">
      <c r="A48" s="46"/>
      <c r="B48" s="46"/>
      <c r="C48" s="46"/>
      <c r="D48" s="46"/>
      <c r="E48" s="46"/>
      <c r="F48" s="46"/>
      <c r="G48" s="46"/>
      <c r="H48" s="46"/>
      <c r="I48" s="17"/>
      <c r="J48" s="17"/>
      <c r="K48" s="17"/>
      <c r="L48" s="17"/>
    </row>
    <row r="49" spans="1:12" x14ac:dyDescent="0.2">
      <c r="A49" s="46"/>
      <c r="B49" s="46"/>
      <c r="C49" s="46"/>
      <c r="D49" s="46"/>
      <c r="E49" s="46"/>
      <c r="F49" s="46"/>
      <c r="G49" s="46"/>
      <c r="H49" s="46"/>
      <c r="I49" s="17"/>
      <c r="J49" s="17"/>
      <c r="K49" s="17"/>
      <c r="L49" s="17"/>
    </row>
    <row r="50" spans="1:12" x14ac:dyDescent="0.2">
      <c r="A50" s="46"/>
      <c r="B50" s="46"/>
      <c r="C50" s="46"/>
      <c r="D50" s="46"/>
      <c r="E50" s="46"/>
      <c r="F50" s="46"/>
      <c r="G50" s="46"/>
      <c r="H50" s="46"/>
      <c r="I50" s="17"/>
      <c r="J50" s="17"/>
      <c r="K50" s="17"/>
      <c r="L50" s="17"/>
    </row>
    <row r="51" spans="1:12" x14ac:dyDescent="0.2">
      <c r="A51" s="46"/>
      <c r="B51" s="46"/>
      <c r="C51" s="46"/>
      <c r="D51" s="46"/>
      <c r="E51" s="46"/>
      <c r="F51" s="46"/>
      <c r="G51" s="46"/>
      <c r="H51" s="46"/>
      <c r="I51" s="17"/>
      <c r="J51" s="17"/>
      <c r="K51" s="17"/>
      <c r="L51" s="17"/>
    </row>
    <row r="52" spans="1:12" x14ac:dyDescent="0.2">
      <c r="A52" s="46"/>
      <c r="B52" s="46"/>
      <c r="C52" s="46"/>
      <c r="D52" s="46"/>
      <c r="E52" s="46"/>
      <c r="F52" s="46"/>
      <c r="G52" s="46"/>
      <c r="H52" s="46"/>
      <c r="I52" s="17"/>
      <c r="J52" s="17"/>
      <c r="K52" s="17"/>
      <c r="L52" s="17"/>
    </row>
    <row r="53" spans="1:12" x14ac:dyDescent="0.2">
      <c r="A53" s="46"/>
      <c r="B53" s="46"/>
      <c r="C53" s="46"/>
      <c r="D53" s="46"/>
      <c r="E53" s="46"/>
      <c r="F53" s="46"/>
      <c r="G53" s="46"/>
      <c r="H53" s="46"/>
      <c r="I53" s="17"/>
      <c r="J53" s="17"/>
      <c r="K53" s="17"/>
      <c r="L53" s="17"/>
    </row>
    <row r="54" spans="1:12" x14ac:dyDescent="0.2">
      <c r="A54" s="46"/>
      <c r="B54" s="46"/>
      <c r="C54" s="46"/>
      <c r="D54" s="46"/>
      <c r="E54" s="46"/>
      <c r="F54" s="46"/>
      <c r="G54" s="46"/>
      <c r="H54" s="46"/>
      <c r="I54" s="17"/>
      <c r="J54" s="17"/>
      <c r="K54" s="17"/>
      <c r="L54" s="17"/>
    </row>
    <row r="55" spans="1:12" x14ac:dyDescent="0.2">
      <c r="A55" s="46"/>
      <c r="B55" s="46"/>
      <c r="C55" s="46"/>
      <c r="D55" s="46"/>
      <c r="E55" s="46"/>
      <c r="F55" s="46"/>
      <c r="G55" s="46"/>
      <c r="H55" s="46"/>
      <c r="I55" s="17"/>
      <c r="J55" s="17"/>
      <c r="K55" s="17"/>
      <c r="L55" s="17"/>
    </row>
    <row r="56" spans="1:12" x14ac:dyDescent="0.2">
      <c r="A56" s="46"/>
      <c r="B56" s="46"/>
      <c r="C56" s="46"/>
      <c r="D56" s="46"/>
      <c r="E56" s="46"/>
      <c r="F56" s="46"/>
      <c r="G56" s="46"/>
      <c r="H56" s="46"/>
      <c r="I56" s="17"/>
      <c r="J56" s="17"/>
      <c r="K56" s="17"/>
      <c r="L56" s="17"/>
    </row>
    <row r="57" spans="1:12" x14ac:dyDescent="0.2">
      <c r="A57" s="46"/>
      <c r="B57" s="46"/>
      <c r="C57" s="46"/>
      <c r="D57" s="46"/>
      <c r="E57" s="46"/>
      <c r="F57" s="46"/>
      <c r="G57" s="46"/>
      <c r="H57" s="46"/>
      <c r="I57" s="17"/>
      <c r="J57" s="17"/>
      <c r="K57" s="17"/>
      <c r="L57" s="17"/>
    </row>
    <row r="58" spans="1:12" x14ac:dyDescent="0.2">
      <c r="A58" s="46"/>
      <c r="B58" s="46"/>
      <c r="C58" s="46"/>
      <c r="D58" s="46"/>
      <c r="E58" s="46"/>
      <c r="F58" s="46"/>
      <c r="G58" s="46"/>
      <c r="H58" s="46"/>
      <c r="I58" s="17"/>
      <c r="J58" s="17"/>
      <c r="K58" s="17"/>
      <c r="L58" s="17"/>
    </row>
    <row r="59" spans="1:12" x14ac:dyDescent="0.2">
      <c r="A59" s="46"/>
      <c r="B59" s="46"/>
      <c r="C59" s="46"/>
      <c r="D59" s="46"/>
      <c r="E59" s="46"/>
      <c r="F59" s="46"/>
      <c r="G59" s="46"/>
      <c r="H59" s="46"/>
      <c r="I59" s="17"/>
      <c r="J59" s="17"/>
      <c r="K59" s="17"/>
      <c r="L59" s="17"/>
    </row>
    <row r="60" spans="1:12" x14ac:dyDescent="0.2">
      <c r="A60" s="46"/>
      <c r="B60" s="46"/>
      <c r="C60" s="46"/>
      <c r="D60" s="46"/>
      <c r="E60" s="46"/>
      <c r="F60" s="46"/>
      <c r="G60" s="46"/>
      <c r="H60" s="46"/>
      <c r="I60" s="17"/>
      <c r="J60" s="17"/>
      <c r="K60" s="17"/>
      <c r="L60" s="17"/>
    </row>
    <row r="61" spans="1:12" x14ac:dyDescent="0.2">
      <c r="A61" s="46"/>
      <c r="B61" s="46"/>
      <c r="C61" s="46"/>
      <c r="D61" s="46"/>
      <c r="E61" s="46"/>
      <c r="F61" s="46"/>
      <c r="G61" s="46"/>
      <c r="H61" s="46"/>
      <c r="I61" s="17"/>
      <c r="J61" s="17"/>
      <c r="K61" s="17"/>
      <c r="L61" s="17"/>
    </row>
    <row r="62" spans="1:12" x14ac:dyDescent="0.2">
      <c r="A62" s="46"/>
      <c r="B62" s="46"/>
      <c r="C62" s="46"/>
      <c r="D62" s="46"/>
      <c r="E62" s="46"/>
      <c r="F62" s="46"/>
      <c r="G62" s="46"/>
      <c r="H62" s="46"/>
      <c r="I62" s="17"/>
      <c r="J62" s="17"/>
      <c r="K62" s="17"/>
      <c r="L62" s="17"/>
    </row>
    <row r="63" spans="1:12" x14ac:dyDescent="0.2">
      <c r="A63" s="46"/>
      <c r="B63" s="46"/>
      <c r="C63" s="46"/>
      <c r="D63" s="46"/>
      <c r="E63" s="46"/>
      <c r="F63" s="46"/>
      <c r="G63" s="46"/>
      <c r="H63" s="46"/>
      <c r="I63" s="17"/>
      <c r="J63" s="17"/>
      <c r="K63" s="17"/>
      <c r="L63" s="17"/>
    </row>
    <row r="64" spans="1:12" x14ac:dyDescent="0.2">
      <c r="A64" s="46"/>
      <c r="B64" s="46"/>
      <c r="C64" s="46"/>
      <c r="D64" s="46"/>
      <c r="E64" s="46"/>
      <c r="F64" s="46"/>
      <c r="G64" s="46"/>
      <c r="H64" s="46"/>
    </row>
    <row r="65" spans="1:8" x14ac:dyDescent="0.2">
      <c r="A65" s="46"/>
      <c r="B65" s="46"/>
      <c r="C65" s="46"/>
      <c r="D65" s="46"/>
      <c r="E65" s="46"/>
      <c r="F65" s="46"/>
      <c r="G65" s="46"/>
      <c r="H65" s="46"/>
    </row>
    <row r="66" spans="1:8" x14ac:dyDescent="0.2">
      <c r="A66" s="46"/>
      <c r="B66" s="46"/>
      <c r="C66" s="46"/>
      <c r="D66" s="46"/>
      <c r="E66" s="46"/>
      <c r="F66" s="46"/>
      <c r="G66" s="46"/>
      <c r="H66" s="46"/>
    </row>
    <row r="67" spans="1:8" x14ac:dyDescent="0.2">
      <c r="A67" s="46"/>
      <c r="B67" s="46"/>
      <c r="C67" s="46"/>
      <c r="D67" s="46"/>
      <c r="E67" s="46"/>
      <c r="F67" s="46"/>
      <c r="G67" s="46"/>
      <c r="H67" s="46"/>
    </row>
    <row r="68" spans="1:8" x14ac:dyDescent="0.2">
      <c r="A68" s="46"/>
      <c r="B68" s="46"/>
      <c r="C68" s="46"/>
      <c r="D68" s="46"/>
      <c r="E68" s="46"/>
      <c r="F68" s="46"/>
      <c r="G68" s="46"/>
      <c r="H68" s="46"/>
    </row>
    <row r="69" spans="1:8" x14ac:dyDescent="0.2">
      <c r="A69" s="46"/>
      <c r="B69" s="46"/>
      <c r="C69" s="46"/>
      <c r="D69" s="46"/>
      <c r="E69" s="46"/>
      <c r="F69" s="46"/>
      <c r="G69" s="46"/>
      <c r="H69" s="46"/>
    </row>
    <row r="70" spans="1:8" x14ac:dyDescent="0.2">
      <c r="A70" s="46"/>
      <c r="B70" s="46"/>
      <c r="C70" s="46"/>
      <c r="D70" s="46"/>
      <c r="E70" s="46"/>
      <c r="F70" s="46"/>
      <c r="G70" s="46"/>
      <c r="H70" s="46"/>
    </row>
    <row r="71" spans="1:8" x14ac:dyDescent="0.2">
      <c r="A71" s="46"/>
      <c r="B71" s="46"/>
      <c r="C71" s="46"/>
      <c r="D71" s="46"/>
      <c r="E71" s="46"/>
      <c r="F71" s="46"/>
      <c r="G71" s="46"/>
      <c r="H71" s="46"/>
    </row>
    <row r="72" spans="1:8" x14ac:dyDescent="0.2">
      <c r="A72" s="46"/>
      <c r="B72" s="46"/>
      <c r="C72" s="46"/>
      <c r="D72" s="46"/>
      <c r="E72" s="46"/>
      <c r="F72" s="46"/>
      <c r="G72" s="46"/>
      <c r="H72" s="46"/>
    </row>
  </sheetData>
  <mergeCells count="4">
    <mergeCell ref="A2:L2"/>
    <mergeCell ref="A1:L1"/>
    <mergeCell ref="A13:H72"/>
    <mergeCell ref="I13:Q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0"/>
  <sheetViews>
    <sheetView topLeftCell="A7" zoomScale="75" workbookViewId="0">
      <selection activeCell="H73" sqref="H73"/>
    </sheetView>
  </sheetViews>
  <sheetFormatPr baseColWidth="10" defaultColWidth="8.83203125" defaultRowHeight="15" x14ac:dyDescent="0.2"/>
  <cols>
    <col min="1" max="1" width="13" customWidth="1"/>
    <col min="2" max="6" width="14" customWidth="1"/>
    <col min="7" max="7" width="22" customWidth="1"/>
    <col min="8" max="8" width="28" customWidth="1"/>
    <col min="9" max="11" width="16" customWidth="1"/>
  </cols>
  <sheetData>
    <row r="1" spans="1:11" ht="22" customHeight="1" thickBot="1" x14ac:dyDescent="0.25">
      <c r="A1" s="49" t="s">
        <v>65</v>
      </c>
      <c r="B1" s="44"/>
      <c r="C1" s="44"/>
      <c r="D1" s="44"/>
      <c r="E1" s="44"/>
      <c r="F1" s="44"/>
      <c r="G1" s="44"/>
      <c r="H1" s="44"/>
      <c r="I1" s="44"/>
      <c r="J1" s="44"/>
      <c r="K1" s="45"/>
    </row>
    <row r="2" spans="1:11" x14ac:dyDescent="0.2">
      <c r="A2" s="41"/>
      <c r="B2" s="42"/>
      <c r="C2" s="42"/>
      <c r="D2" s="42"/>
      <c r="E2" s="42"/>
      <c r="F2" s="42"/>
      <c r="G2" s="42"/>
      <c r="H2" s="42"/>
      <c r="I2" s="42"/>
      <c r="J2" s="42"/>
      <c r="K2" s="42"/>
    </row>
    <row r="3" spans="1:11" x14ac:dyDescent="0.2">
      <c r="A3" s="1" t="s">
        <v>21</v>
      </c>
      <c r="B3" s="4">
        <f>AVERAGE(B25:B49)</f>
        <v>1.770341237437934E-3</v>
      </c>
      <c r="C3" s="19" t="s">
        <v>22</v>
      </c>
    </row>
    <row r="4" spans="1:11" x14ac:dyDescent="0.2">
      <c r="A4" s="1" t="s">
        <v>23</v>
      </c>
      <c r="B4" s="4">
        <v>1.9909858531327461E-3</v>
      </c>
      <c r="C4" s="19" t="s">
        <v>24</v>
      </c>
    </row>
    <row r="5" spans="1:11" x14ac:dyDescent="0.2">
      <c r="A5" s="1" t="s">
        <v>25</v>
      </c>
      <c r="B5" s="4">
        <v>0.13338867266088961</v>
      </c>
      <c r="C5" s="19" t="s">
        <v>26</v>
      </c>
    </row>
    <row r="8" spans="1:11" x14ac:dyDescent="0.2">
      <c r="A8" s="1" t="s">
        <v>27</v>
      </c>
      <c r="B8" s="5">
        <v>44616</v>
      </c>
    </row>
    <row r="9" spans="1:11" x14ac:dyDescent="0.2">
      <c r="A9" s="1" t="s">
        <v>28</v>
      </c>
      <c r="B9" s="6">
        <v>10</v>
      </c>
      <c r="C9" s="19" t="s">
        <v>29</v>
      </c>
    </row>
    <row r="10" spans="1:11" x14ac:dyDescent="0.2">
      <c r="A10" s="1" t="s">
        <v>30</v>
      </c>
      <c r="B10" s="6">
        <v>10</v>
      </c>
      <c r="C10" s="19" t="s">
        <v>31</v>
      </c>
    </row>
    <row r="11" spans="1:11" x14ac:dyDescent="0.2">
      <c r="A11" s="1" t="s">
        <v>32</v>
      </c>
      <c r="B11" s="6">
        <v>25</v>
      </c>
      <c r="C11" s="19" t="s">
        <v>33</v>
      </c>
    </row>
    <row r="23" spans="1:11" ht="16" thickBot="1" x14ac:dyDescent="0.25"/>
    <row r="24" spans="1:11" ht="36" customHeight="1" thickBot="1" x14ac:dyDescent="0.25">
      <c r="A24" s="22" t="s">
        <v>34</v>
      </c>
      <c r="B24" s="23" t="s">
        <v>35</v>
      </c>
      <c r="C24" s="23" t="s">
        <v>36</v>
      </c>
      <c r="D24" s="23" t="s">
        <v>37</v>
      </c>
      <c r="E24" s="23" t="s">
        <v>38</v>
      </c>
      <c r="F24" s="24" t="s">
        <v>39</v>
      </c>
    </row>
    <row r="25" spans="1:11" ht="17" thickBot="1" x14ac:dyDescent="0.25">
      <c r="A25" s="20">
        <v>44567</v>
      </c>
      <c r="B25" s="21">
        <v>-9.6286107290232126E-3</v>
      </c>
      <c r="C25" s="21">
        <v>-1.5331863722152559E-2</v>
      </c>
      <c r="D25" s="21">
        <f t="shared" ref="D25:D70" si="0">B25-$B$3</f>
        <v>-1.1398951966461146E-2</v>
      </c>
      <c r="E25" s="21">
        <f t="shared" ref="E25:E70" si="1">B25-C25</f>
        <v>5.7032529931293468E-3</v>
      </c>
      <c r="F25" s="21">
        <f t="shared" ref="F25:F70" si="2">B25-($B$4+$B$5*C25)</f>
        <v>-9.5744996308403819E-3</v>
      </c>
      <c r="H25" s="22" t="s">
        <v>40</v>
      </c>
      <c r="I25" s="23" t="s">
        <v>41</v>
      </c>
      <c r="J25" s="23" t="s">
        <v>42</v>
      </c>
      <c r="K25" s="24" t="s">
        <v>43</v>
      </c>
    </row>
    <row r="26" spans="1:11" x14ac:dyDescent="0.2">
      <c r="A26" s="5">
        <v>44568</v>
      </c>
      <c r="B26" s="7">
        <v>-1.5162037037037109E-2</v>
      </c>
      <c r="C26" s="7">
        <v>-4.3886275262043917E-3</v>
      </c>
      <c r="D26" s="7">
        <f t="shared" si="0"/>
        <v>-1.6932378274475045E-2</v>
      </c>
      <c r="E26" s="7">
        <f t="shared" si="1"/>
        <v>-1.0773409510832718E-2</v>
      </c>
      <c r="F26" s="7">
        <f t="shared" si="2"/>
        <v>-1.656762968964641E-2</v>
      </c>
      <c r="H26" s="35" t="s">
        <v>44</v>
      </c>
      <c r="I26" s="21">
        <f>STDEV($D$25:$D$49)</f>
        <v>2.6714445000671379E-2</v>
      </c>
      <c r="J26" s="21">
        <f>STDEV($E$25:$E$49)</f>
        <v>2.9276004003337804E-2</v>
      </c>
      <c r="K26" s="21">
        <f>STDEV($F$25:$F$49)</f>
        <v>2.6649225924380838E-2</v>
      </c>
    </row>
    <row r="27" spans="1:11" x14ac:dyDescent="0.2">
      <c r="A27" s="5">
        <v>44571</v>
      </c>
      <c r="B27" s="7">
        <v>-6.2169467622517398E-2</v>
      </c>
      <c r="C27" s="7">
        <v>-1.5400063957615621E-2</v>
      </c>
      <c r="D27" s="7">
        <f t="shared" si="0"/>
        <v>-6.393980885995533E-2</v>
      </c>
      <c r="E27" s="7">
        <f t="shared" si="1"/>
        <v>-4.6769403664901774E-2</v>
      </c>
      <c r="F27" s="7">
        <f t="shared" si="2"/>
        <v>-6.2106259385450988E-2</v>
      </c>
      <c r="H27" s="25" t="s">
        <v>45</v>
      </c>
      <c r="I27" s="7">
        <f>I26*SQRT(10)</f>
        <v>8.4478492629419949E-2</v>
      </c>
      <c r="J27" s="7">
        <f>J26*SQRT(10)</f>
        <v>9.2578853438755188E-2</v>
      </c>
      <c r="K27" s="7">
        <f>K26*SQRT(10)</f>
        <v>8.4272251801449552E-2</v>
      </c>
    </row>
    <row r="28" spans="1:11" ht="16" thickBot="1" x14ac:dyDescent="0.25">
      <c r="A28" s="5">
        <v>44572</v>
      </c>
      <c r="B28" s="7">
        <v>1.541353383458643E-2</v>
      </c>
      <c r="C28" s="7">
        <v>9.9115039763146839E-3</v>
      </c>
      <c r="D28" s="7">
        <f t="shared" si="0"/>
        <v>1.3643192597148496E-2</v>
      </c>
      <c r="E28" s="7">
        <f t="shared" si="1"/>
        <v>5.5020298582717456E-3</v>
      </c>
      <c r="F28" s="7">
        <f t="shared" si="2"/>
        <v>1.2100465621979938E-2</v>
      </c>
      <c r="H28" s="36" t="s">
        <v>46</v>
      </c>
      <c r="I28" s="37">
        <f>I26*SQRT(21)</f>
        <v>0.12242096636431121</v>
      </c>
      <c r="J28" s="37">
        <f>J26*SQRT(21)</f>
        <v>0.13415950439112567</v>
      </c>
      <c r="K28" s="37">
        <f>K26*SQRT(21)</f>
        <v>0.12212209501045471</v>
      </c>
    </row>
    <row r="29" spans="1:11" ht="16" thickBot="1" x14ac:dyDescent="0.25">
      <c r="A29" s="5">
        <v>44573</v>
      </c>
      <c r="B29" s="7">
        <v>-1.579661853634462E-2</v>
      </c>
      <c r="C29" s="7">
        <v>8.1396173662504623E-3</v>
      </c>
      <c r="D29" s="7">
        <f t="shared" si="0"/>
        <v>-1.7566959773782555E-2</v>
      </c>
      <c r="E29" s="7">
        <f t="shared" si="1"/>
        <v>-2.3936235902595082E-2</v>
      </c>
      <c r="F29" s="7">
        <f t="shared" si="2"/>
        <v>-1.887333714592904E-2</v>
      </c>
      <c r="H29" s="48" t="s">
        <v>47</v>
      </c>
      <c r="I29" s="44"/>
      <c r="J29" s="44"/>
      <c r="K29" s="45"/>
    </row>
    <row r="30" spans="1:11" x14ac:dyDescent="0.2">
      <c r="A30" s="5">
        <v>44574</v>
      </c>
      <c r="B30" s="7">
        <v>6.8965517241379448E-3</v>
      </c>
      <c r="C30" s="7">
        <v>-1.1357508461284919E-4</v>
      </c>
      <c r="D30" s="7">
        <f t="shared" si="0"/>
        <v>5.126210486700011E-3</v>
      </c>
      <c r="E30" s="7">
        <f t="shared" si="1"/>
        <v>7.010126808750794E-3</v>
      </c>
      <c r="F30" s="7">
        <f t="shared" si="2"/>
        <v>4.9207155007890552E-3</v>
      </c>
      <c r="H30" s="38" t="s">
        <v>48</v>
      </c>
      <c r="I30" s="39">
        <f>D60</f>
        <v>-8.6573382741292587E-2</v>
      </c>
      <c r="J30" s="39">
        <f>E60</f>
        <v>-4.853196043375041E-2</v>
      </c>
      <c r="K30" s="39">
        <f>F60</f>
        <v>-8.1955875997070673E-2</v>
      </c>
    </row>
    <row r="31" spans="1:11" x14ac:dyDescent="0.2">
      <c r="A31" s="5">
        <v>44575</v>
      </c>
      <c r="B31" s="7">
        <v>1.8929016189290101E-2</v>
      </c>
      <c r="C31" s="7">
        <v>-1.0127658640498921E-2</v>
      </c>
      <c r="D31" s="7">
        <f t="shared" si="0"/>
        <v>1.7158674951852165E-2</v>
      </c>
      <c r="E31" s="7">
        <f t="shared" si="1"/>
        <v>2.905667482978902E-2</v>
      </c>
      <c r="F31" s="7">
        <f t="shared" si="2"/>
        <v>1.8288945279376096E-2</v>
      </c>
      <c r="H31" s="10" t="s">
        <v>49</v>
      </c>
      <c r="I31" s="11">
        <f>SUM(D50:D59)</f>
        <v>3.2196749292396923E-2</v>
      </c>
      <c r="J31" s="11">
        <f>SUM(E50:E59)</f>
        <v>0.10554448631235783</v>
      </c>
      <c r="K31" s="11">
        <f>SUM(F50:F59)</f>
        <v>3.7412625741034544E-2</v>
      </c>
    </row>
    <row r="32" spans="1:11" x14ac:dyDescent="0.2">
      <c r="A32" s="5">
        <v>44578</v>
      </c>
      <c r="B32" s="7">
        <v>-1.8332925934979261E-2</v>
      </c>
      <c r="C32" s="7">
        <v>7.0105018089718918E-3</v>
      </c>
      <c r="D32" s="7">
        <f t="shared" si="0"/>
        <v>-2.0103267172417196E-2</v>
      </c>
      <c r="E32" s="7">
        <f t="shared" si="1"/>
        <v>-2.5343427743951152E-2</v>
      </c>
      <c r="F32" s="7">
        <f t="shared" si="2"/>
        <v>-2.1259033319097533E-2</v>
      </c>
      <c r="H32" s="12" t="s">
        <v>50</v>
      </c>
      <c r="I32" s="13">
        <f>SUM(D61:D70)</f>
        <v>-8.226107432912648E-2</v>
      </c>
      <c r="J32" s="13">
        <f>SUM(E61:E70)</f>
        <v>-5.3858202387317616E-2</v>
      </c>
      <c r="K32" s="13">
        <f>SUM(F61:F70)</f>
        <v>-8.3040333776186359E-2</v>
      </c>
    </row>
    <row r="33" spans="1:11" x14ac:dyDescent="0.2">
      <c r="A33" s="5">
        <v>44579</v>
      </c>
      <c r="B33" s="7">
        <v>2.564741035856577E-2</v>
      </c>
      <c r="C33" s="7">
        <v>-1.0301922087968761E-2</v>
      </c>
      <c r="D33" s="7">
        <f t="shared" si="0"/>
        <v>2.3877069121127834E-2</v>
      </c>
      <c r="E33" s="7">
        <f t="shared" si="1"/>
        <v>3.5949332446534532E-2</v>
      </c>
      <c r="F33" s="7">
        <f t="shared" si="2"/>
        <v>2.5030584218603078E-2</v>
      </c>
      <c r="H33" s="8" t="s">
        <v>51</v>
      </c>
      <c r="I33" s="7">
        <f>SUM(D50:D70)</f>
        <v>-0.13663770777802214</v>
      </c>
      <c r="J33" s="7">
        <f>SUM(E50:E70)</f>
        <v>3.1543234912898288E-3</v>
      </c>
      <c r="K33" s="7">
        <f>SUM(F50:F70)</f>
        <v>-0.1275835840322225</v>
      </c>
    </row>
    <row r="34" spans="1:11" ht="16" thickBot="1" x14ac:dyDescent="0.25">
      <c r="A34" s="5">
        <v>44580</v>
      </c>
      <c r="B34" s="7">
        <v>-6.7977664481670974E-3</v>
      </c>
      <c r="C34" s="7">
        <v>2.4566471502629468E-3</v>
      </c>
      <c r="D34" s="7">
        <f t="shared" si="0"/>
        <v>-8.5681076856050312E-3</v>
      </c>
      <c r="E34" s="7">
        <f t="shared" si="1"/>
        <v>-9.2544135984300446E-3</v>
      </c>
      <c r="F34" s="7">
        <f t="shared" si="2"/>
        <v>-9.1164412038695752E-3</v>
      </c>
    </row>
    <row r="35" spans="1:11" ht="16" thickBot="1" x14ac:dyDescent="0.25">
      <c r="A35" s="5">
        <v>44581</v>
      </c>
      <c r="B35" s="7">
        <v>4.2776827181618238E-2</v>
      </c>
      <c r="C35" s="7">
        <v>7.3402119125265397E-3</v>
      </c>
      <c r="D35" s="7">
        <f t="shared" si="0"/>
        <v>4.1006485944180306E-2</v>
      </c>
      <c r="E35" s="7">
        <f t="shared" si="1"/>
        <v>3.5436615269091698E-2</v>
      </c>
      <c r="F35" s="7">
        <f t="shared" si="2"/>
        <v>3.9806740204423929E-2</v>
      </c>
      <c r="H35" s="48" t="s">
        <v>52</v>
      </c>
      <c r="I35" s="44"/>
      <c r="J35" s="44"/>
      <c r="K35" s="45"/>
    </row>
    <row r="36" spans="1:11" x14ac:dyDescent="0.2">
      <c r="A36" s="5">
        <v>44582</v>
      </c>
      <c r="B36" s="7">
        <v>-1.347866854195956E-2</v>
      </c>
      <c r="C36" s="7">
        <v>-1.6292130429257479E-2</v>
      </c>
      <c r="D36" s="7">
        <f t="shared" si="0"/>
        <v>-1.5249009779397494E-2</v>
      </c>
      <c r="E36" s="7">
        <f t="shared" si="1"/>
        <v>2.8134618872979189E-3</v>
      </c>
      <c r="F36" s="7">
        <f t="shared" si="2"/>
        <v>-1.3296468742315562E-2</v>
      </c>
      <c r="H36" s="35" t="s">
        <v>66</v>
      </c>
      <c r="I36" s="21">
        <f t="shared" ref="I36:K37" si="3">I30/I26</f>
        <v>-3.240695539028299</v>
      </c>
      <c r="J36" s="21">
        <f t="shared" si="3"/>
        <v>-1.6577385502549189</v>
      </c>
      <c r="K36" s="21">
        <f t="shared" si="3"/>
        <v>-3.0753567187890023</v>
      </c>
    </row>
    <row r="37" spans="1:11" x14ac:dyDescent="0.2">
      <c r="A37" s="5">
        <v>44585</v>
      </c>
      <c r="B37" s="7">
        <v>-5.3463229179042671E-3</v>
      </c>
      <c r="C37" s="7">
        <v>-4.1422736347223273E-2</v>
      </c>
      <c r="D37" s="7">
        <f t="shared" si="0"/>
        <v>-7.1166641553422009E-3</v>
      </c>
      <c r="E37" s="7">
        <f t="shared" si="1"/>
        <v>3.6076413429319006E-2</v>
      </c>
      <c r="F37" s="7">
        <f t="shared" si="2"/>
        <v>-1.8119849516989137E-3</v>
      </c>
      <c r="H37" s="25" t="s">
        <v>67</v>
      </c>
      <c r="I37" s="7">
        <f t="shared" si="3"/>
        <v>0.38112362437187103</v>
      </c>
      <c r="J37" s="7">
        <f t="shared" si="3"/>
        <v>1.1400496159976743</v>
      </c>
      <c r="K37" s="7">
        <f t="shared" si="3"/>
        <v>0.44394952005294602</v>
      </c>
    </row>
    <row r="38" spans="1:11" x14ac:dyDescent="0.2">
      <c r="A38" s="5">
        <v>44586</v>
      </c>
      <c r="B38" s="7">
        <v>4.0969899665551868E-2</v>
      </c>
      <c r="C38" s="7">
        <v>5.8948642228398018E-3</v>
      </c>
      <c r="D38" s="7">
        <f t="shared" si="0"/>
        <v>3.9199558428113936E-2</v>
      </c>
      <c r="E38" s="7">
        <f t="shared" si="1"/>
        <v>3.5075035442712066E-2</v>
      </c>
      <c r="F38" s="7">
        <f t="shared" si="2"/>
        <v>3.8192605698218356E-2</v>
      </c>
      <c r="H38" s="25" t="s">
        <v>68</v>
      </c>
      <c r="I38" s="7">
        <f t="shared" ref="I38:K39" si="4">I32/I27</f>
        <v>-0.97375168245460331</v>
      </c>
      <c r="J38" s="7">
        <f t="shared" si="4"/>
        <v>-0.58175490824097409</v>
      </c>
      <c r="K38" s="7">
        <f t="shared" si="4"/>
        <v>-0.98538168852820418</v>
      </c>
    </row>
    <row r="39" spans="1:11" x14ac:dyDescent="0.2">
      <c r="A39" s="5">
        <v>44587</v>
      </c>
      <c r="B39" s="7">
        <v>1.3884107860011371E-2</v>
      </c>
      <c r="C39" s="7">
        <v>2.1170814926924519E-2</v>
      </c>
      <c r="D39" s="7">
        <f t="shared" si="0"/>
        <v>1.2113766622573437E-2</v>
      </c>
      <c r="E39" s="7">
        <f t="shared" si="1"/>
        <v>-7.2867070669131485E-3</v>
      </c>
      <c r="F39" s="7">
        <f t="shared" si="2"/>
        <v>9.0691751046268147E-3</v>
      </c>
      <c r="H39" s="25" t="s">
        <v>69</v>
      </c>
      <c r="I39" s="7">
        <f t="shared" si="4"/>
        <v>-1.1161299558067814</v>
      </c>
      <c r="J39" s="7">
        <f t="shared" si="4"/>
        <v>2.3511740786502783E-2</v>
      </c>
      <c r="K39" s="7">
        <f t="shared" si="4"/>
        <v>-1.0447215470820432</v>
      </c>
    </row>
    <row r="40" spans="1:11" ht="16" thickBot="1" x14ac:dyDescent="0.25">
      <c r="A40" s="5">
        <v>44588</v>
      </c>
      <c r="B40" s="7">
        <v>1.2449071978270609E-2</v>
      </c>
      <c r="C40" s="7">
        <v>4.8912540723811126E-3</v>
      </c>
      <c r="D40" s="7">
        <f t="shared" si="0"/>
        <v>1.0678730740832676E-2</v>
      </c>
      <c r="E40" s="7">
        <f t="shared" si="1"/>
        <v>7.5578179058894968E-3</v>
      </c>
      <c r="F40" s="7">
        <f t="shared" si="2"/>
        <v>9.8056482367757762E-3</v>
      </c>
    </row>
    <row r="41" spans="1:11" ht="16" thickBot="1" x14ac:dyDescent="0.25">
      <c r="A41" s="5">
        <v>44589</v>
      </c>
      <c r="B41" s="7">
        <v>-6.2597809076680999E-3</v>
      </c>
      <c r="C41" s="7">
        <v>-1.1483966701431919E-2</v>
      </c>
      <c r="D41" s="7">
        <f t="shared" si="0"/>
        <v>-8.0301221451060337E-3</v>
      </c>
      <c r="E41" s="7">
        <f t="shared" si="1"/>
        <v>5.2241857937638195E-3</v>
      </c>
      <c r="F41" s="7">
        <f t="shared" si="2"/>
        <v>-6.7189356856149872E-3</v>
      </c>
      <c r="H41" s="48" t="s">
        <v>53</v>
      </c>
      <c r="I41" s="44"/>
      <c r="J41" s="44"/>
      <c r="K41" s="45"/>
    </row>
    <row r="42" spans="1:11" x14ac:dyDescent="0.2">
      <c r="A42" s="5">
        <v>44592</v>
      </c>
      <c r="B42" s="7">
        <v>-1.1248593925761161E-4</v>
      </c>
      <c r="C42" s="7">
        <v>9.1106502154292279E-3</v>
      </c>
      <c r="D42" s="7">
        <f t="shared" si="0"/>
        <v>-1.8828271766955457E-3</v>
      </c>
      <c r="E42" s="7">
        <f t="shared" si="1"/>
        <v>-9.2231361546868396E-3</v>
      </c>
      <c r="F42" s="7">
        <f t="shared" si="2"/>
        <v>-3.3187293317041107E-3</v>
      </c>
      <c r="H42" s="35" t="s">
        <v>70</v>
      </c>
      <c r="I42" s="21">
        <v>3.4797626481555847E-3</v>
      </c>
      <c r="J42" s="21">
        <v>0.11038584983842242</v>
      </c>
      <c r="K42" s="21">
        <v>5.1848840870854247E-3</v>
      </c>
    </row>
    <row r="43" spans="1:11" x14ac:dyDescent="0.2">
      <c r="A43" s="5">
        <v>44593</v>
      </c>
      <c r="B43" s="7">
        <v>3.2624592192598278E-3</v>
      </c>
      <c r="C43" s="7">
        <v>1.1941286947278361E-2</v>
      </c>
      <c r="D43" s="7">
        <f t="shared" si="0"/>
        <v>1.4921179818218938E-3</v>
      </c>
      <c r="E43" s="7">
        <f t="shared" si="1"/>
        <v>-8.6788277280185327E-3</v>
      </c>
      <c r="F43" s="7">
        <f t="shared" si="2"/>
        <v>-3.2135904963318494E-4</v>
      </c>
      <c r="H43" s="25" t="s">
        <v>71</v>
      </c>
      <c r="I43" s="7">
        <v>0.70646456409960467</v>
      </c>
      <c r="J43" s="7">
        <v>0.26551579973791656</v>
      </c>
      <c r="K43" s="7">
        <v>0.66105609642021335</v>
      </c>
    </row>
    <row r="44" spans="1:11" x14ac:dyDescent="0.2">
      <c r="A44" s="5">
        <v>44594</v>
      </c>
      <c r="B44" s="7">
        <v>5.1356806458847222E-2</v>
      </c>
      <c r="C44" s="7">
        <v>-5.6821373528403996E-4</v>
      </c>
      <c r="D44" s="7">
        <f t="shared" si="0"/>
        <v>4.958646522140929E-2</v>
      </c>
      <c r="E44" s="7">
        <f t="shared" si="1"/>
        <v>5.1925020194131262E-2</v>
      </c>
      <c r="F44" s="7">
        <f t="shared" si="2"/>
        <v>4.9441613881651698E-2</v>
      </c>
      <c r="H44" s="25" t="s">
        <v>72</v>
      </c>
      <c r="I44" s="7">
        <v>0.3398928235613603</v>
      </c>
      <c r="J44" s="7">
        <v>0.56615665315235209</v>
      </c>
      <c r="K44" s="7">
        <v>0.33426709932155363</v>
      </c>
    </row>
    <row r="45" spans="1:11" x14ac:dyDescent="0.2">
      <c r="A45" s="5">
        <v>44595</v>
      </c>
      <c r="B45" s="7">
        <v>6.6126279863480963E-3</v>
      </c>
      <c r="C45" s="7">
        <v>-1.9192048626780141E-2</v>
      </c>
      <c r="D45" s="7">
        <f t="shared" si="0"/>
        <v>4.8422867489101625E-3</v>
      </c>
      <c r="E45" s="7">
        <f t="shared" si="1"/>
        <v>2.5804676613128238E-2</v>
      </c>
      <c r="F45" s="7">
        <f t="shared" si="2"/>
        <v>7.1816440251848022E-3</v>
      </c>
      <c r="H45" s="25" t="s">
        <v>73</v>
      </c>
      <c r="I45" s="7">
        <v>0.27541717490558298</v>
      </c>
      <c r="J45" s="7">
        <v>0.98143646960284314</v>
      </c>
      <c r="K45" s="7">
        <v>0.30656074198709926</v>
      </c>
    </row>
    <row r="46" spans="1:11" x14ac:dyDescent="0.2">
      <c r="A46" s="5">
        <v>44596</v>
      </c>
      <c r="B46" s="7">
        <v>1.7482517482517501E-2</v>
      </c>
      <c r="C46" s="7">
        <v>-1.3146505244959529E-2</v>
      </c>
      <c r="D46" s="7">
        <f t="shared" si="0"/>
        <v>1.5712176245079566E-2</v>
      </c>
      <c r="E46" s="7">
        <f t="shared" si="1"/>
        <v>3.0629022727477029E-2</v>
      </c>
      <c r="F46" s="7">
        <f t="shared" si="2"/>
        <v>1.7245126514139331E-2</v>
      </c>
    </row>
    <row r="47" spans="1:11" x14ac:dyDescent="0.2">
      <c r="A47" s="5">
        <v>44599</v>
      </c>
      <c r="B47" s="7">
        <v>2.6033531188169872E-3</v>
      </c>
      <c r="C47" s="7">
        <v>8.3150164242813407E-3</v>
      </c>
      <c r="D47" s="7">
        <f t="shared" si="0"/>
        <v>8.3301188137905311E-4</v>
      </c>
      <c r="E47" s="7">
        <f t="shared" si="1"/>
        <v>-5.711663305464354E-3</v>
      </c>
      <c r="F47" s="7">
        <f t="shared" si="2"/>
        <v>-4.9676173830414316E-4</v>
      </c>
      <c r="H47" s="19" t="s">
        <v>62</v>
      </c>
    </row>
    <row r="48" spans="1:11" x14ac:dyDescent="0.2">
      <c r="A48" s="5">
        <v>44600</v>
      </c>
      <c r="B48" s="7">
        <v>2.0772746157042832E-3</v>
      </c>
      <c r="C48" s="7">
        <v>2.1089223995476298E-3</v>
      </c>
      <c r="D48" s="7">
        <f t="shared" si="0"/>
        <v>3.0693337826634914E-4</v>
      </c>
      <c r="E48" s="7">
        <f t="shared" si="1"/>
        <v>-3.1647783843346666E-5</v>
      </c>
      <c r="F48" s="7">
        <f t="shared" si="2"/>
        <v>-1.9501759704893939E-4</v>
      </c>
      <c r="H48" s="19" t="s">
        <v>63</v>
      </c>
    </row>
    <row r="49" spans="1:7" x14ac:dyDescent="0.2">
      <c r="A49" s="5">
        <v>44601</v>
      </c>
      <c r="B49" s="7">
        <v>-6.301824212271967E-2</v>
      </c>
      <c r="C49" s="7">
        <v>1.812431888357446E-2</v>
      </c>
      <c r="D49" s="7">
        <f t="shared" si="0"/>
        <v>-6.4788583360157609E-2</v>
      </c>
      <c r="E49" s="7">
        <f t="shared" si="1"/>
        <v>-8.1142561006294134E-2</v>
      </c>
      <c r="F49" s="7">
        <f t="shared" si="2"/>
        <v>-6.7426806814615103E-2</v>
      </c>
    </row>
    <row r="50" spans="1:7" x14ac:dyDescent="0.2">
      <c r="A50" s="14">
        <v>44602</v>
      </c>
      <c r="B50" s="11">
        <v>1.1061946902635179E-4</v>
      </c>
      <c r="C50" s="11">
        <v>-1.6698072096832379E-3</v>
      </c>
      <c r="D50" s="11">
        <f t="shared" si="0"/>
        <v>-1.6597217684115823E-3</v>
      </c>
      <c r="E50" s="11">
        <f t="shared" si="1"/>
        <v>1.7804266787095897E-3</v>
      </c>
      <c r="F50" s="11">
        <f t="shared" si="2"/>
        <v>-1.6576330168071635E-3</v>
      </c>
      <c r="G50" s="26" t="s">
        <v>54</v>
      </c>
    </row>
    <row r="51" spans="1:7" x14ac:dyDescent="0.2">
      <c r="A51" s="14">
        <v>44603</v>
      </c>
      <c r="B51" s="11">
        <v>2.3116911846034819E-2</v>
      </c>
      <c r="C51" s="11">
        <v>-9.9688224171462503E-3</v>
      </c>
      <c r="D51" s="11">
        <f t="shared" si="0"/>
        <v>2.1346570608596883E-2</v>
      </c>
      <c r="E51" s="11">
        <f t="shared" si="1"/>
        <v>3.3085734263181066E-2</v>
      </c>
      <c r="F51" s="11">
        <f t="shared" si="2"/>
        <v>2.2455653983117333E-2</v>
      </c>
    </row>
    <row r="52" spans="1:7" x14ac:dyDescent="0.2">
      <c r="A52" s="14">
        <v>44606</v>
      </c>
      <c r="B52" s="11">
        <v>-1.264864864864867E-2</v>
      </c>
      <c r="C52" s="11">
        <v>-2.184717325480845E-2</v>
      </c>
      <c r="D52" s="11">
        <f t="shared" si="0"/>
        <v>-1.4418989886086604E-2</v>
      </c>
      <c r="E52" s="11">
        <f t="shared" si="1"/>
        <v>9.1985246061597799E-3</v>
      </c>
      <c r="F52" s="11">
        <f t="shared" si="2"/>
        <v>-1.1725469059930028E-2</v>
      </c>
    </row>
    <row r="53" spans="1:7" x14ac:dyDescent="0.2">
      <c r="A53" s="14">
        <v>44607</v>
      </c>
      <c r="B53" s="11">
        <v>-6.7885689258732063E-3</v>
      </c>
      <c r="C53" s="11">
        <v>1.9500796102255521E-2</v>
      </c>
      <c r="D53" s="11">
        <f t="shared" si="0"/>
        <v>-8.5589101633111401E-3</v>
      </c>
      <c r="E53" s="11">
        <f t="shared" si="1"/>
        <v>-2.6289365028128727E-2</v>
      </c>
      <c r="F53" s="11">
        <f t="shared" si="2"/>
        <v>-1.1380740086916466E-2</v>
      </c>
    </row>
    <row r="54" spans="1:7" x14ac:dyDescent="0.2">
      <c r="A54" s="14">
        <v>44608</v>
      </c>
      <c r="B54" s="11">
        <v>-1.466211002094586E-2</v>
      </c>
      <c r="C54" s="11">
        <v>-1.5661680365972601E-3</v>
      </c>
      <c r="D54" s="11">
        <f t="shared" si="0"/>
        <v>-1.6432451258383794E-2</v>
      </c>
      <c r="E54" s="11">
        <f t="shared" si="1"/>
        <v>-1.3095941984348601E-2</v>
      </c>
      <c r="F54" s="11">
        <f t="shared" si="2"/>
        <v>-1.6444186798512988E-2</v>
      </c>
    </row>
    <row r="55" spans="1:7" x14ac:dyDescent="0.2">
      <c r="A55" s="14">
        <v>44609</v>
      </c>
      <c r="B55" s="11">
        <v>-3.8039829939583658E-2</v>
      </c>
      <c r="C55" s="11">
        <v>-5.8083138410865987E-3</v>
      </c>
      <c r="D55" s="11">
        <f t="shared" si="0"/>
        <v>-3.981017117702159E-2</v>
      </c>
      <c r="E55" s="11">
        <f t="shared" si="1"/>
        <v>-3.2231516098497059E-2</v>
      </c>
      <c r="F55" s="11">
        <f t="shared" si="2"/>
        <v>-3.9256052519055992E-2</v>
      </c>
    </row>
    <row r="56" spans="1:7" x14ac:dyDescent="0.2">
      <c r="A56" s="14">
        <v>44610</v>
      </c>
      <c r="B56" s="11">
        <v>3.5705978134449763E-2</v>
      </c>
      <c r="C56" s="11">
        <v>-9.4597897650386953E-3</v>
      </c>
      <c r="D56" s="11">
        <f t="shared" si="0"/>
        <v>3.3935636897011831E-2</v>
      </c>
      <c r="E56" s="11">
        <f t="shared" si="1"/>
        <v>4.5165767899488458E-2</v>
      </c>
      <c r="F56" s="11">
        <f t="shared" si="2"/>
        <v>3.4976821081726596E-2</v>
      </c>
    </row>
    <row r="57" spans="1:7" x14ac:dyDescent="0.2">
      <c r="A57" s="14">
        <v>44613</v>
      </c>
      <c r="B57" s="11">
        <v>2.6951151038743242E-3</v>
      </c>
      <c r="C57" s="11">
        <v>-2.173882691481566E-2</v>
      </c>
      <c r="D57" s="11">
        <f t="shared" si="0"/>
        <v>9.2477386643639013E-4</v>
      </c>
      <c r="E57" s="11">
        <f t="shared" si="1"/>
        <v>2.4433942018689984E-2</v>
      </c>
      <c r="F57" s="11">
        <f t="shared" si="2"/>
        <v>3.6038425181136608E-3</v>
      </c>
    </row>
    <row r="58" spans="1:7" x14ac:dyDescent="0.2">
      <c r="A58" s="14">
        <v>44614</v>
      </c>
      <c r="B58" s="11">
        <v>1.119946242580383E-3</v>
      </c>
      <c r="C58" s="11">
        <v>-6.0212668941517222E-5</v>
      </c>
      <c r="D58" s="11">
        <f t="shared" si="0"/>
        <v>-6.5039499485755104E-4</v>
      </c>
      <c r="E58" s="11">
        <f t="shared" si="1"/>
        <v>1.1801589115219002E-3</v>
      </c>
      <c r="F58" s="11">
        <f t="shared" si="2"/>
        <v>-8.6300792256488457E-4</v>
      </c>
    </row>
    <row r="59" spans="1:7" x14ac:dyDescent="0.2">
      <c r="A59" s="14">
        <v>44615</v>
      </c>
      <c r="B59" s="11">
        <v>5.9290748405862008E-2</v>
      </c>
      <c r="C59" s="11">
        <v>-3.0260066397194141E-3</v>
      </c>
      <c r="D59" s="11">
        <f t="shared" si="0"/>
        <v>5.7520407168424076E-2</v>
      </c>
      <c r="E59" s="11">
        <f t="shared" si="1"/>
        <v>6.2316755045581422E-2</v>
      </c>
      <c r="F59" s="11">
        <f t="shared" si="2"/>
        <v>5.7703397561864475E-2</v>
      </c>
    </row>
    <row r="60" spans="1:7" x14ac:dyDescent="0.2">
      <c r="A60" s="15">
        <v>44616</v>
      </c>
      <c r="B60" s="9">
        <v>-8.4803041503854648E-2</v>
      </c>
      <c r="C60" s="9">
        <v>-3.6271081070104239E-2</v>
      </c>
      <c r="D60" s="9">
        <f t="shared" si="0"/>
        <v>-8.6573382741292587E-2</v>
      </c>
      <c r="E60" s="9">
        <f t="shared" si="1"/>
        <v>-4.853196043375041E-2</v>
      </c>
      <c r="F60" s="9">
        <f t="shared" si="2"/>
        <v>-8.1955875997070673E-2</v>
      </c>
      <c r="G60" s="27" t="s">
        <v>55</v>
      </c>
    </row>
    <row r="61" spans="1:7" x14ac:dyDescent="0.2">
      <c r="A61" s="16">
        <v>44617</v>
      </c>
      <c r="B61" s="13">
        <v>1.246249711516279E-2</v>
      </c>
      <c r="C61" s="13">
        <v>3.692587944536263E-2</v>
      </c>
      <c r="D61" s="13">
        <f t="shared" si="0"/>
        <v>1.0692155877724856E-2</v>
      </c>
      <c r="E61" s="13">
        <f t="shared" si="1"/>
        <v>-2.4463382330199838E-2</v>
      </c>
      <c r="F61" s="13">
        <f t="shared" si="2"/>
        <v>5.5460172159770959E-3</v>
      </c>
      <c r="G61" s="28" t="s">
        <v>56</v>
      </c>
    </row>
    <row r="62" spans="1:7" x14ac:dyDescent="0.2">
      <c r="A62" s="16">
        <v>44620</v>
      </c>
      <c r="B62" s="13">
        <v>-6.7472076589924823E-2</v>
      </c>
      <c r="C62" s="13">
        <v>-1.1700727486429139E-2</v>
      </c>
      <c r="D62" s="13">
        <f t="shared" si="0"/>
        <v>-6.9242417827362762E-2</v>
      </c>
      <c r="E62" s="13">
        <f t="shared" si="1"/>
        <v>-5.5771349103495682E-2</v>
      </c>
      <c r="F62" s="13">
        <f t="shared" si="2"/>
        <v>-6.7902317934476E-2</v>
      </c>
    </row>
    <row r="63" spans="1:7" x14ac:dyDescent="0.2">
      <c r="A63" s="16">
        <v>44621</v>
      </c>
      <c r="B63" s="13">
        <v>-0.16242972378391579</v>
      </c>
      <c r="C63" s="13">
        <v>-4.035948035685244E-2</v>
      </c>
      <c r="D63" s="13">
        <f t="shared" si="0"/>
        <v>-0.16420006502135373</v>
      </c>
      <c r="E63" s="13">
        <f t="shared" si="1"/>
        <v>-0.12207024342706335</v>
      </c>
      <c r="F63" s="13">
        <f t="shared" si="2"/>
        <v>-0.15903721212296473</v>
      </c>
    </row>
    <row r="64" spans="1:7" x14ac:dyDescent="0.2">
      <c r="A64" s="16">
        <v>44624</v>
      </c>
      <c r="B64" s="13">
        <v>-5.4574638844301693E-2</v>
      </c>
      <c r="C64" s="13">
        <v>-4.9647498804508361E-2</v>
      </c>
      <c r="D64" s="13">
        <f t="shared" si="0"/>
        <v>-5.6344980081739625E-2</v>
      </c>
      <c r="E64" s="13">
        <f t="shared" si="1"/>
        <v>-4.9271400397933318E-3</v>
      </c>
      <c r="F64" s="13">
        <f t="shared" si="2"/>
        <v>-4.9943210730967968E-2</v>
      </c>
    </row>
    <row r="65" spans="1:6" x14ac:dyDescent="0.2">
      <c r="A65" s="16">
        <v>44627</v>
      </c>
      <c r="B65" s="13">
        <v>-0.105880537119926</v>
      </c>
      <c r="C65" s="13">
        <v>-1.231437452151218E-2</v>
      </c>
      <c r="D65" s="13">
        <f t="shared" si="0"/>
        <v>-0.10765087835736394</v>
      </c>
      <c r="E65" s="13">
        <f t="shared" si="1"/>
        <v>-9.3566162598413813E-2</v>
      </c>
      <c r="F65" s="13">
        <f t="shared" si="2"/>
        <v>-0.10622892490098515</v>
      </c>
    </row>
    <row r="66" spans="1:6" x14ac:dyDescent="0.2">
      <c r="A66" s="16">
        <v>44628</v>
      </c>
      <c r="B66" s="13">
        <v>0.175901950630071</v>
      </c>
      <c r="C66" s="13">
        <v>-1.9730915769600181E-3</v>
      </c>
      <c r="D66" s="13">
        <f t="shared" si="0"/>
        <v>0.17413160939263306</v>
      </c>
      <c r="E66" s="13">
        <f t="shared" si="1"/>
        <v>0.17787504220703101</v>
      </c>
      <c r="F66" s="13">
        <f t="shared" si="2"/>
        <v>0.17417415284342733</v>
      </c>
    </row>
    <row r="67" spans="1:6" x14ac:dyDescent="0.2">
      <c r="A67" s="16">
        <v>44629</v>
      </c>
      <c r="B67" s="13">
        <v>6.8408690546094997E-2</v>
      </c>
      <c r="C67" s="13">
        <v>7.4381856440753458E-2</v>
      </c>
      <c r="D67" s="13">
        <f t="shared" si="0"/>
        <v>6.6638349308657058E-2</v>
      </c>
      <c r="E67" s="13">
        <f t="shared" si="1"/>
        <v>-5.9731658946584609E-3</v>
      </c>
      <c r="F67" s="13">
        <f t="shared" si="2"/>
        <v>5.6496007592277304E-2</v>
      </c>
    </row>
    <row r="68" spans="1:6" x14ac:dyDescent="0.2">
      <c r="A68" s="16">
        <v>44630</v>
      </c>
      <c r="B68" s="13">
        <v>4.4655125034350103E-2</v>
      </c>
      <c r="C68" s="13">
        <v>-3.0438002548747178E-2</v>
      </c>
      <c r="D68" s="13">
        <f t="shared" si="0"/>
        <v>4.2884783796912171E-2</v>
      </c>
      <c r="E68" s="13">
        <f t="shared" si="1"/>
        <v>7.5093127583097274E-2</v>
      </c>
      <c r="F68" s="13">
        <f t="shared" si="2"/>
        <v>4.6724223939643518E-2</v>
      </c>
    </row>
    <row r="69" spans="1:6" x14ac:dyDescent="0.2">
      <c r="A69" s="16">
        <v>44631</v>
      </c>
      <c r="B69" s="13">
        <v>4.7349730369590226E-3</v>
      </c>
      <c r="C69" s="13">
        <v>9.6922371370651295E-3</v>
      </c>
      <c r="D69" s="13">
        <f t="shared" si="0"/>
        <v>2.9646317995210888E-3</v>
      </c>
      <c r="E69" s="13">
        <f t="shared" si="1"/>
        <v>-4.9572641001061069E-3</v>
      </c>
      <c r="F69" s="13">
        <f t="shared" si="2"/>
        <v>1.4511525369985782E-3</v>
      </c>
    </row>
    <row r="70" spans="1:6" x14ac:dyDescent="0.2">
      <c r="A70" s="16">
        <v>44634</v>
      </c>
      <c r="B70" s="13">
        <v>1.9636078020683231E-2</v>
      </c>
      <c r="C70" s="13">
        <v>1.473374270439853E-2</v>
      </c>
      <c r="D70" s="13">
        <f t="shared" si="0"/>
        <v>1.7865736783245295E-2</v>
      </c>
      <c r="E70" s="13">
        <f t="shared" si="1"/>
        <v>4.9023353162847005E-3</v>
      </c>
      <c r="F70" s="13">
        <f t="shared" si="2"/>
        <v>1.5679777784883699E-2</v>
      </c>
    </row>
  </sheetData>
  <mergeCells count="5">
    <mergeCell ref="H35:K35"/>
    <mergeCell ref="A2:K2"/>
    <mergeCell ref="H29:K29"/>
    <mergeCell ref="A1:K1"/>
    <mergeCell ref="H41:K4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0"/>
  <sheetViews>
    <sheetView topLeftCell="A24" workbookViewId="0">
      <selection activeCell="H48" sqref="H48"/>
    </sheetView>
  </sheetViews>
  <sheetFormatPr baseColWidth="10" defaultColWidth="8.83203125" defaultRowHeight="15" x14ac:dyDescent="0.2"/>
  <cols>
    <col min="1" max="1" width="13" customWidth="1"/>
    <col min="2" max="6" width="14" customWidth="1"/>
    <col min="7" max="7" width="22" customWidth="1"/>
    <col min="8" max="8" width="28" customWidth="1"/>
    <col min="9" max="11" width="16" customWidth="1"/>
  </cols>
  <sheetData>
    <row r="1" spans="1:11" ht="22" customHeight="1" thickBot="1" x14ac:dyDescent="0.25">
      <c r="A1" s="49" t="s">
        <v>74</v>
      </c>
      <c r="B1" s="44"/>
      <c r="C1" s="44"/>
      <c r="D1" s="44"/>
      <c r="E1" s="44"/>
      <c r="F1" s="44"/>
      <c r="G1" s="44"/>
      <c r="H1" s="44"/>
      <c r="I1" s="44"/>
      <c r="J1" s="44"/>
      <c r="K1" s="45"/>
    </row>
    <row r="2" spans="1:11" x14ac:dyDescent="0.2">
      <c r="A2" s="29"/>
    </row>
    <row r="3" spans="1:11" x14ac:dyDescent="0.2">
      <c r="A3" s="1" t="s">
        <v>21</v>
      </c>
      <c r="B3" s="4">
        <f>AVERAGE(B25:B49)</f>
        <v>-1.8887214406450336E-3</v>
      </c>
      <c r="C3" s="19" t="s">
        <v>22</v>
      </c>
    </row>
    <row r="4" spans="1:11" x14ac:dyDescent="0.2">
      <c r="A4" s="1" t="s">
        <v>23</v>
      </c>
      <c r="B4" s="4">
        <v>6.1239838068849386E-5</v>
      </c>
      <c r="C4" s="19" t="s">
        <v>24</v>
      </c>
    </row>
    <row r="5" spans="1:11" x14ac:dyDescent="0.2">
      <c r="A5" s="1" t="s">
        <v>25</v>
      </c>
      <c r="B5" s="4">
        <v>1.1788311529321029</v>
      </c>
      <c r="C5" s="19" t="s">
        <v>26</v>
      </c>
    </row>
    <row r="8" spans="1:11" x14ac:dyDescent="0.2">
      <c r="A8" s="1" t="s">
        <v>27</v>
      </c>
      <c r="B8" s="5">
        <v>44616</v>
      </c>
    </row>
    <row r="9" spans="1:11" x14ac:dyDescent="0.2">
      <c r="A9" s="1" t="s">
        <v>28</v>
      </c>
      <c r="B9" s="6">
        <v>10</v>
      </c>
      <c r="C9" s="19" t="s">
        <v>29</v>
      </c>
    </row>
    <row r="10" spans="1:11" x14ac:dyDescent="0.2">
      <c r="A10" s="1" t="s">
        <v>30</v>
      </c>
      <c r="B10" s="6">
        <v>10</v>
      </c>
      <c r="C10" s="19" t="s">
        <v>31</v>
      </c>
    </row>
    <row r="11" spans="1:11" x14ac:dyDescent="0.2">
      <c r="A11" s="1" t="s">
        <v>32</v>
      </c>
      <c r="B11" s="6">
        <v>25</v>
      </c>
      <c r="C11" s="19" t="s">
        <v>33</v>
      </c>
    </row>
    <row r="23" spans="1:11" ht="16" thickBot="1" x14ac:dyDescent="0.25"/>
    <row r="24" spans="1:11" ht="49" thickBot="1" x14ac:dyDescent="0.25">
      <c r="A24" s="22" t="s">
        <v>34</v>
      </c>
      <c r="B24" s="23" t="s">
        <v>57</v>
      </c>
      <c r="C24" s="23" t="s">
        <v>36</v>
      </c>
      <c r="D24" s="23" t="s">
        <v>37</v>
      </c>
      <c r="E24" s="23" t="s">
        <v>38</v>
      </c>
      <c r="F24" s="24" t="s">
        <v>39</v>
      </c>
    </row>
    <row r="25" spans="1:11" ht="17" thickBot="1" x14ac:dyDescent="0.25">
      <c r="A25" s="20">
        <v>44567</v>
      </c>
      <c r="B25" s="21">
        <v>-4.0614261074123137E-2</v>
      </c>
      <c r="C25" s="21">
        <v>-1.5331863722152559E-2</v>
      </c>
      <c r="D25" s="21">
        <f t="shared" ref="D25:D70" si="0">B25-$B$3</f>
        <v>-3.8725539633478107E-2</v>
      </c>
      <c r="E25" s="21">
        <f t="shared" ref="E25:E70" si="1">B25-C25</f>
        <v>-2.5282397351970576E-2</v>
      </c>
      <c r="F25" s="21">
        <f t="shared" ref="F25:F70" si="2">B25-($B$4+$B$5*C25)</f>
        <v>-2.2601822324009001E-2</v>
      </c>
      <c r="H25" s="22" t="s">
        <v>40</v>
      </c>
      <c r="I25" s="23" t="s">
        <v>41</v>
      </c>
      <c r="J25" s="23" t="s">
        <v>42</v>
      </c>
      <c r="K25" s="24" t="s">
        <v>43</v>
      </c>
    </row>
    <row r="26" spans="1:11" x14ac:dyDescent="0.2">
      <c r="A26" s="5">
        <v>44568</v>
      </c>
      <c r="B26" s="7">
        <v>-2.450170862363155E-2</v>
      </c>
      <c r="C26" s="7">
        <v>-4.3886275262043917E-3</v>
      </c>
      <c r="D26" s="7">
        <f t="shared" si="0"/>
        <v>-2.2612987182986516E-2</v>
      </c>
      <c r="E26" s="7">
        <f t="shared" si="1"/>
        <v>-2.0113081097427158E-2</v>
      </c>
      <c r="F26" s="7">
        <f t="shared" si="2"/>
        <v>-1.9389497615195313E-2</v>
      </c>
      <c r="H26" s="35" t="s">
        <v>44</v>
      </c>
      <c r="I26" s="21">
        <f>STDEV($D$25:$D$49)</f>
        <v>2.8447465911200689E-2</v>
      </c>
      <c r="J26" s="21">
        <f>STDEV($E$25:$E$49)</f>
        <v>2.3317188093859846E-2</v>
      </c>
      <c r="K26" s="21">
        <f>STDEV($F$25:$F$49)</f>
        <v>2.3182658673742879E-2</v>
      </c>
    </row>
    <row r="27" spans="1:11" x14ac:dyDescent="0.2">
      <c r="A27" s="5">
        <v>44571</v>
      </c>
      <c r="B27" s="7">
        <v>-1.3937282229965041E-2</v>
      </c>
      <c r="C27" s="7">
        <v>-1.5400063957615621E-2</v>
      </c>
      <c r="D27" s="7">
        <f t="shared" si="0"/>
        <v>-1.2048560789320007E-2</v>
      </c>
      <c r="E27" s="7">
        <f t="shared" si="1"/>
        <v>1.4627817276505802E-3</v>
      </c>
      <c r="F27" s="7">
        <f t="shared" si="2"/>
        <v>4.1555530823502562E-3</v>
      </c>
      <c r="H27" s="25" t="s">
        <v>45</v>
      </c>
      <c r="I27" s="7">
        <f>I26*SQRT(10)</f>
        <v>8.9958785939391453E-2</v>
      </c>
      <c r="J27" s="7">
        <f>J26*SQRT(10)</f>
        <v>7.3735423007157117E-2</v>
      </c>
      <c r="K27" s="7">
        <f>K26*SQRT(10)</f>
        <v>7.3310003627285819E-2</v>
      </c>
    </row>
    <row r="28" spans="1:11" ht="16" thickBot="1" x14ac:dyDescent="0.25">
      <c r="A28" s="5">
        <v>44572</v>
      </c>
      <c r="B28" s="7">
        <v>8.0706143083382198E-3</v>
      </c>
      <c r="C28" s="7">
        <v>9.9115039763146839E-3</v>
      </c>
      <c r="D28" s="7">
        <f t="shared" si="0"/>
        <v>9.9593357489832536E-3</v>
      </c>
      <c r="E28" s="7">
        <f t="shared" si="1"/>
        <v>-1.8408896679764641E-3</v>
      </c>
      <c r="F28" s="7">
        <f t="shared" si="2"/>
        <v>-3.6746151894207924E-3</v>
      </c>
      <c r="H28" s="36" t="s">
        <v>46</v>
      </c>
      <c r="I28" s="37">
        <f>I26*SQRT(21)</f>
        <v>0.13036266586775305</v>
      </c>
      <c r="J28" s="37">
        <f>J26*SQRT(21)</f>
        <v>0.10685277943363582</v>
      </c>
      <c r="K28" s="37">
        <f>K26*SQRT(21)</f>
        <v>0.1062362881827513</v>
      </c>
    </row>
    <row r="29" spans="1:11" ht="16" thickBot="1" x14ac:dyDescent="0.25">
      <c r="A29" s="5">
        <v>44573</v>
      </c>
      <c r="B29" s="7">
        <v>3.8119321023182269E-3</v>
      </c>
      <c r="C29" s="7">
        <v>8.1396173662504623E-3</v>
      </c>
      <c r="D29" s="7">
        <f t="shared" si="0"/>
        <v>5.7006535429632603E-3</v>
      </c>
      <c r="E29" s="7">
        <f t="shared" si="1"/>
        <v>-4.327685263932235E-3</v>
      </c>
      <c r="F29" s="7">
        <f t="shared" si="2"/>
        <v>-5.844542260033822E-3</v>
      </c>
      <c r="H29" s="48" t="s">
        <v>47</v>
      </c>
      <c r="I29" s="44"/>
      <c r="J29" s="44"/>
      <c r="K29" s="45"/>
    </row>
    <row r="30" spans="1:11" x14ac:dyDescent="0.2">
      <c r="A30" s="5">
        <v>44574</v>
      </c>
      <c r="B30" s="7">
        <v>7.6513107804525582E-3</v>
      </c>
      <c r="C30" s="7">
        <v>-1.1357508461284919E-4</v>
      </c>
      <c r="D30" s="7">
        <f t="shared" si="0"/>
        <v>9.540032221097592E-3</v>
      </c>
      <c r="E30" s="7">
        <f t="shared" si="1"/>
        <v>7.7648858650654073E-3</v>
      </c>
      <c r="F30" s="7">
        <f t="shared" si="2"/>
        <v>7.7239567903222353E-3</v>
      </c>
      <c r="H30" s="38" t="s">
        <v>48</v>
      </c>
      <c r="I30" s="39">
        <f>D60</f>
        <v>9.1516325059412124E-2</v>
      </c>
      <c r="J30" s="39">
        <f>E60</f>
        <v>0.12589868468887133</v>
      </c>
      <c r="K30" s="39">
        <f>F60</f>
        <v>0.13232384409666301</v>
      </c>
    </row>
    <row r="31" spans="1:11" x14ac:dyDescent="0.2">
      <c r="A31" s="5">
        <v>44575</v>
      </c>
      <c r="B31" s="7">
        <v>-1.63664518054869E-2</v>
      </c>
      <c r="C31" s="7">
        <v>-1.0127658640498921E-2</v>
      </c>
      <c r="D31" s="7">
        <f t="shared" si="0"/>
        <v>-1.4477730364841866E-2</v>
      </c>
      <c r="E31" s="7">
        <f t="shared" si="1"/>
        <v>-6.2387931649879793E-3</v>
      </c>
      <c r="F31" s="7">
        <f t="shared" si="2"/>
        <v>-4.4888921318736331E-3</v>
      </c>
      <c r="H31" s="10" t="s">
        <v>49</v>
      </c>
      <c r="I31" s="11">
        <f>SUM(D50:D59)</f>
        <v>-8.1301731609952008E-3</v>
      </c>
      <c r="J31" s="11">
        <f>SUM(E50:E59)</f>
        <v>2.8626937078136027E-2</v>
      </c>
      <c r="K31" s="11">
        <f>SUM(F50:F59)</f>
        <v>3.7965477427945114E-2</v>
      </c>
    </row>
    <row r="32" spans="1:11" x14ac:dyDescent="0.2">
      <c r="A32" s="5">
        <v>44578</v>
      </c>
      <c r="B32" s="7">
        <v>7.9424162964156775E-3</v>
      </c>
      <c r="C32" s="7">
        <v>7.0105018089718918E-3</v>
      </c>
      <c r="D32" s="7">
        <f t="shared" si="0"/>
        <v>9.8311377370607113E-3</v>
      </c>
      <c r="E32" s="7">
        <f t="shared" si="1"/>
        <v>9.3191448744378569E-4</v>
      </c>
      <c r="F32" s="7">
        <f t="shared" si="2"/>
        <v>-3.8302147175610021E-4</v>
      </c>
      <c r="H32" s="12" t="s">
        <v>50</v>
      </c>
      <c r="I32" s="13">
        <f>SUM(D61:D70)</f>
        <v>0.13927917304498</v>
      </c>
      <c r="J32" s="13">
        <f>SUM(E61:E70)</f>
        <v>0.16160922502673736</v>
      </c>
      <c r="K32" s="13">
        <f>SUM(F61:F70)</f>
        <v>0.1683677579149617</v>
      </c>
    </row>
    <row r="33" spans="1:11" x14ac:dyDescent="0.2">
      <c r="A33" s="5">
        <v>44579</v>
      </c>
      <c r="B33" s="7">
        <v>-1.9875992623536901E-2</v>
      </c>
      <c r="C33" s="7">
        <v>-1.0301922087968761E-2</v>
      </c>
      <c r="D33" s="7">
        <f t="shared" si="0"/>
        <v>-1.7987271182891867E-2</v>
      </c>
      <c r="E33" s="7">
        <f t="shared" si="1"/>
        <v>-9.5740705355681407E-3</v>
      </c>
      <c r="F33" s="7">
        <f t="shared" si="2"/>
        <v>-7.793005769228839E-3</v>
      </c>
      <c r="H33" s="8" t="s">
        <v>51</v>
      </c>
      <c r="I33" s="7">
        <f>SUM(D50:D70)</f>
        <v>0.22266532494339691</v>
      </c>
      <c r="J33" s="7">
        <f>SUM(E50:E70)</f>
        <v>0.31613484679374471</v>
      </c>
      <c r="K33" s="7">
        <f>SUM(F50:F70)</f>
        <v>0.3386570794395698</v>
      </c>
    </row>
    <row r="34" spans="1:11" ht="16" thickBot="1" x14ac:dyDescent="0.25">
      <c r="A34" s="5">
        <v>44580</v>
      </c>
      <c r="B34" s="7">
        <v>-5.807730521304455E-4</v>
      </c>
      <c r="C34" s="7">
        <v>2.4566471502629468E-3</v>
      </c>
      <c r="D34" s="7">
        <f t="shared" si="0"/>
        <v>1.3079483885145881E-3</v>
      </c>
      <c r="E34" s="7">
        <f t="shared" si="1"/>
        <v>-3.0374202023933923E-3</v>
      </c>
      <c r="F34" s="7">
        <f t="shared" si="2"/>
        <v>-3.5379850826911296E-3</v>
      </c>
    </row>
    <row r="35" spans="1:11" ht="16" thickBot="1" x14ac:dyDescent="0.25">
      <c r="A35" s="5">
        <v>44581</v>
      </c>
      <c r="B35" s="7">
        <v>4.0663330483810663E-2</v>
      </c>
      <c r="C35" s="7">
        <v>7.3402119125265397E-3</v>
      </c>
      <c r="D35" s="7">
        <f t="shared" si="0"/>
        <v>4.2552051924455693E-2</v>
      </c>
      <c r="E35" s="7">
        <f t="shared" si="1"/>
        <v>3.3323118571284123E-2</v>
      </c>
      <c r="F35" s="7">
        <f t="shared" si="2"/>
        <v>3.1949220174132195E-2</v>
      </c>
      <c r="H35" s="48" t="s">
        <v>52</v>
      </c>
      <c r="I35" s="44"/>
      <c r="J35" s="44"/>
      <c r="K35" s="45"/>
    </row>
    <row r="36" spans="1:11" x14ac:dyDescent="0.2">
      <c r="A36" s="5">
        <v>44582</v>
      </c>
      <c r="B36" s="7">
        <v>-5.7395622297393922E-2</v>
      </c>
      <c r="C36" s="7">
        <v>-1.6292130429257479E-2</v>
      </c>
      <c r="D36" s="7">
        <f t="shared" si="0"/>
        <v>-5.5506900856748892E-2</v>
      </c>
      <c r="E36" s="7">
        <f t="shared" si="1"/>
        <v>-4.1103491868136444E-2</v>
      </c>
      <c r="F36" s="7">
        <f t="shared" si="2"/>
        <v>-3.8251191237820975E-2</v>
      </c>
      <c r="H36" s="35" t="s">
        <v>66</v>
      </c>
      <c r="I36" s="21">
        <f t="shared" ref="I36:K37" si="3">I30/I26</f>
        <v>3.2170290789725202</v>
      </c>
      <c r="J36" s="21">
        <f t="shared" si="3"/>
        <v>5.3993939656053316</v>
      </c>
      <c r="K36" s="21">
        <f t="shared" si="3"/>
        <v>5.7078804445555464</v>
      </c>
    </row>
    <row r="37" spans="1:11" x14ac:dyDescent="0.2">
      <c r="A37" s="5">
        <v>44585</v>
      </c>
      <c r="B37" s="7">
        <v>-3.3047412020445373E-2</v>
      </c>
      <c r="C37" s="7">
        <v>-4.1422736347223273E-2</v>
      </c>
      <c r="D37" s="7">
        <f t="shared" si="0"/>
        <v>-3.1158690579800339E-2</v>
      </c>
      <c r="E37" s="7">
        <f t="shared" si="1"/>
        <v>8.3753243267778998E-3</v>
      </c>
      <c r="F37" s="7">
        <f t="shared" si="2"/>
        <v>1.5721760187285515E-2</v>
      </c>
      <c r="H37" s="25" t="s">
        <v>67</v>
      </c>
      <c r="I37" s="7">
        <f t="shared" si="3"/>
        <v>-9.0376643883042146E-2</v>
      </c>
      <c r="J37" s="7">
        <f t="shared" si="3"/>
        <v>0.3882385956524228</v>
      </c>
      <c r="K37" s="7">
        <f t="shared" si="3"/>
        <v>0.51787580888639395</v>
      </c>
    </row>
    <row r="38" spans="1:11" x14ac:dyDescent="0.2">
      <c r="A38" s="5">
        <v>44586</v>
      </c>
      <c r="B38" s="7">
        <v>-1.6025154175653981E-2</v>
      </c>
      <c r="C38" s="7">
        <v>5.8948642228398018E-3</v>
      </c>
      <c r="D38" s="7">
        <f t="shared" si="0"/>
        <v>-1.4136432735008947E-2</v>
      </c>
      <c r="E38" s="7">
        <f t="shared" si="1"/>
        <v>-2.1920018398493783E-2</v>
      </c>
      <c r="F38" s="7">
        <f t="shared" si="2"/>
        <v>-2.303544360191128E-2</v>
      </c>
      <c r="H38" s="25" t="s">
        <v>68</v>
      </c>
      <c r="I38" s="7">
        <f t="shared" ref="I38:K39" si="4">I32/I27</f>
        <v>1.5482553659496638</v>
      </c>
      <c r="J38" s="7">
        <f t="shared" si="4"/>
        <v>2.1917447332071425</v>
      </c>
      <c r="K38" s="7">
        <f t="shared" si="4"/>
        <v>2.2966546117083482</v>
      </c>
    </row>
    <row r="39" spans="1:11" x14ac:dyDescent="0.2">
      <c r="A39" s="5">
        <v>44587</v>
      </c>
      <c r="B39" s="7">
        <v>3.9174217982165027E-2</v>
      </c>
      <c r="C39" s="7">
        <v>2.1170814926924519E-2</v>
      </c>
      <c r="D39" s="7">
        <f t="shared" si="0"/>
        <v>4.1062939422810057E-2</v>
      </c>
      <c r="E39" s="7">
        <f t="shared" si="1"/>
        <v>1.8003403055240508E-2</v>
      </c>
      <c r="F39" s="7">
        <f t="shared" si="2"/>
        <v>1.4156161975277574E-2</v>
      </c>
      <c r="H39" s="25" t="s">
        <v>69</v>
      </c>
      <c r="I39" s="7">
        <f t="shared" si="4"/>
        <v>1.7080451942374413</v>
      </c>
      <c r="J39" s="7">
        <f t="shared" si="4"/>
        <v>2.958601998650769</v>
      </c>
      <c r="K39" s="7">
        <f t="shared" si="4"/>
        <v>3.187772137303972</v>
      </c>
    </row>
    <row r="40" spans="1:11" ht="16" thickBot="1" x14ac:dyDescent="0.25">
      <c r="A40" s="5">
        <v>44588</v>
      </c>
      <c r="B40" s="7">
        <v>7.5216637781629903E-3</v>
      </c>
      <c r="C40" s="7">
        <v>4.8912540723811126E-3</v>
      </c>
      <c r="D40" s="7">
        <f t="shared" si="0"/>
        <v>9.4103852188080241E-3</v>
      </c>
      <c r="E40" s="7">
        <f t="shared" si="1"/>
        <v>2.6304097057818776E-3</v>
      </c>
      <c r="F40" s="7">
        <f t="shared" si="2"/>
        <v>1.6944612626652693E-3</v>
      </c>
    </row>
    <row r="41" spans="1:11" ht="16" thickBot="1" x14ac:dyDescent="0.25">
      <c r="A41" s="5">
        <v>44589</v>
      </c>
      <c r="B41" s="7">
        <v>-2.1108866706967652E-2</v>
      </c>
      <c r="C41" s="7">
        <v>-1.1483966701431919E-2</v>
      </c>
      <c r="D41" s="7">
        <f t="shared" si="0"/>
        <v>-1.9220145266322618E-2</v>
      </c>
      <c r="E41" s="7">
        <f t="shared" si="1"/>
        <v>-9.6249000055357321E-3</v>
      </c>
      <c r="F41" s="7">
        <f t="shared" si="2"/>
        <v>-7.6324488381536333E-3</v>
      </c>
      <c r="H41" s="48" t="s">
        <v>53</v>
      </c>
      <c r="I41" s="44"/>
      <c r="J41" s="44"/>
      <c r="K41" s="45"/>
    </row>
    <row r="42" spans="1:11" x14ac:dyDescent="0.2">
      <c r="A42" s="5">
        <v>44592</v>
      </c>
      <c r="B42" s="7">
        <v>3.6089047767278837E-2</v>
      </c>
      <c r="C42" s="7">
        <v>9.1106502154292279E-3</v>
      </c>
      <c r="D42" s="7">
        <f t="shared" si="0"/>
        <v>3.7977769207923867E-2</v>
      </c>
      <c r="E42" s="7">
        <f t="shared" si="1"/>
        <v>2.6978397551849609E-2</v>
      </c>
      <c r="F42" s="7">
        <f t="shared" si="2"/>
        <v>2.5287889631794437E-2</v>
      </c>
      <c r="H42" s="35" t="s">
        <v>70</v>
      </c>
      <c r="I42" s="21">
        <v>3.6854619100993931E-3</v>
      </c>
      <c r="J42" s="21">
        <v>1.5171235275673461E-5</v>
      </c>
      <c r="K42" s="21">
        <v>7.017250682756498E-6</v>
      </c>
    </row>
    <row r="43" spans="1:11" x14ac:dyDescent="0.2">
      <c r="A43" s="5">
        <v>44593</v>
      </c>
      <c r="B43" s="7">
        <v>-1.227454667041405E-2</v>
      </c>
      <c r="C43" s="7">
        <v>1.1941286947278361E-2</v>
      </c>
      <c r="D43" s="7">
        <f t="shared" si="0"/>
        <v>-1.0385825229769016E-2</v>
      </c>
      <c r="E43" s="7">
        <f t="shared" si="1"/>
        <v>-2.421583361769241E-2</v>
      </c>
      <c r="F43" s="7">
        <f t="shared" si="2"/>
        <v>-2.641254756803612E-2</v>
      </c>
      <c r="H43" s="25" t="s">
        <v>71</v>
      </c>
      <c r="I43" s="7">
        <v>0.92873796178283019</v>
      </c>
      <c r="J43" s="7">
        <v>0.70126196508448868</v>
      </c>
      <c r="K43" s="7">
        <v>0.60928618957763137</v>
      </c>
    </row>
    <row r="44" spans="1:11" x14ac:dyDescent="0.2">
      <c r="A44" s="5">
        <v>44594</v>
      </c>
      <c r="B44" s="7">
        <v>2.050248002001687E-2</v>
      </c>
      <c r="C44" s="7">
        <v>-5.6821373528403996E-4</v>
      </c>
      <c r="D44" s="7">
        <f t="shared" si="0"/>
        <v>2.2391201460661904E-2</v>
      </c>
      <c r="E44" s="7">
        <f t="shared" si="1"/>
        <v>2.107069375530091E-2</v>
      </c>
      <c r="F44" s="7">
        <f t="shared" si="2"/>
        <v>2.1111068234624761E-2</v>
      </c>
      <c r="H44" s="25" t="s">
        <v>72</v>
      </c>
      <c r="I44" s="7">
        <v>0.134647559556901</v>
      </c>
      <c r="J44" s="7">
        <v>3.8337918516741683E-2</v>
      </c>
      <c r="K44" s="7">
        <v>3.0669340412593032E-2</v>
      </c>
    </row>
    <row r="45" spans="1:11" x14ac:dyDescent="0.2">
      <c r="A45" s="5">
        <v>44595</v>
      </c>
      <c r="B45" s="7">
        <v>-3.012384139071567E-2</v>
      </c>
      <c r="C45" s="7">
        <v>-1.9192048626780141E-2</v>
      </c>
      <c r="D45" s="7">
        <f t="shared" si="0"/>
        <v>-2.8235119950070636E-2</v>
      </c>
      <c r="E45" s="7">
        <f t="shared" si="1"/>
        <v>-1.0931792763935529E-2</v>
      </c>
      <c r="F45" s="7">
        <f t="shared" si="2"/>
        <v>-7.5608964189483006E-3</v>
      </c>
      <c r="H45" s="25" t="s">
        <v>73</v>
      </c>
      <c r="I45" s="7">
        <v>0.10053272731077192</v>
      </c>
      <c r="J45" s="7">
        <v>6.8457069076064102E-3</v>
      </c>
      <c r="K45" s="7">
        <v>3.9560188950252349E-3</v>
      </c>
    </row>
    <row r="46" spans="1:11" x14ac:dyDescent="0.2">
      <c r="A46" s="5">
        <v>44596</v>
      </c>
      <c r="B46" s="7">
        <v>5.8723518156853727E-2</v>
      </c>
      <c r="C46" s="7">
        <v>-1.3146505244959529E-2</v>
      </c>
      <c r="D46" s="7">
        <f t="shared" si="0"/>
        <v>6.0612239597498757E-2</v>
      </c>
      <c r="E46" s="7">
        <f t="shared" si="1"/>
        <v>7.1870023401813254E-2</v>
      </c>
      <c r="F46" s="7">
        <f t="shared" si="2"/>
        <v>7.4159788253728459E-2</v>
      </c>
    </row>
    <row r="47" spans="1:11" x14ac:dyDescent="0.2">
      <c r="A47" s="5">
        <v>44599</v>
      </c>
      <c r="B47" s="7">
        <v>-3.1321837735089901E-3</v>
      </c>
      <c r="C47" s="7">
        <v>8.3150164242813407E-3</v>
      </c>
      <c r="D47" s="7">
        <f t="shared" si="0"/>
        <v>-1.2434623328639565E-3</v>
      </c>
      <c r="E47" s="7">
        <f t="shared" si="1"/>
        <v>-1.144720019779033E-2</v>
      </c>
      <c r="F47" s="7">
        <f t="shared" si="2"/>
        <v>-1.2995424009662785E-2</v>
      </c>
      <c r="H47" s="19" t="s">
        <v>62</v>
      </c>
    </row>
    <row r="48" spans="1:11" x14ac:dyDescent="0.2">
      <c r="A48" s="5">
        <v>44600</v>
      </c>
      <c r="B48" s="7">
        <v>-2.2144467405598171E-2</v>
      </c>
      <c r="C48" s="7">
        <v>2.1089223995476298E-3</v>
      </c>
      <c r="D48" s="7">
        <f t="shared" si="0"/>
        <v>-2.0255745964953137E-2</v>
      </c>
      <c r="E48" s="7">
        <f t="shared" si="1"/>
        <v>-2.4253389805145801E-2</v>
      </c>
      <c r="F48" s="7">
        <f t="shared" si="2"/>
        <v>-2.4691770667370092E-2</v>
      </c>
      <c r="H48" s="19" t="s">
        <v>63</v>
      </c>
    </row>
    <row r="49" spans="1:7" x14ac:dyDescent="0.2">
      <c r="A49" s="5">
        <v>44601</v>
      </c>
      <c r="B49" s="7">
        <v>3.3759996157633143E-2</v>
      </c>
      <c r="C49" s="7">
        <v>1.812431888357446E-2</v>
      </c>
      <c r="D49" s="7">
        <f t="shared" si="0"/>
        <v>3.5648717598278173E-2</v>
      </c>
      <c r="E49" s="7">
        <f t="shared" si="1"/>
        <v>1.5635677274058683E-2</v>
      </c>
      <c r="F49" s="7">
        <f t="shared" si="2"/>
        <v>1.233324459393113E-2</v>
      </c>
    </row>
    <row r="50" spans="1:7" x14ac:dyDescent="0.2">
      <c r="A50" s="14">
        <v>44602</v>
      </c>
      <c r="B50" s="11">
        <v>-1.765984928031827E-2</v>
      </c>
      <c r="C50" s="11">
        <v>-1.6698072096832379E-3</v>
      </c>
      <c r="D50" s="11">
        <f t="shared" si="0"/>
        <v>-1.5771127839673237E-2</v>
      </c>
      <c r="E50" s="11">
        <f t="shared" si="1"/>
        <v>-1.5990042070635032E-2</v>
      </c>
      <c r="F50" s="11">
        <f t="shared" si="2"/>
        <v>-1.5752668360221891E-2</v>
      </c>
      <c r="G50" s="26" t="s">
        <v>54</v>
      </c>
    </row>
    <row r="51" spans="1:7" x14ac:dyDescent="0.2">
      <c r="A51" s="14">
        <v>44603</v>
      </c>
      <c r="B51" s="11">
        <v>-2.766833937937752E-3</v>
      </c>
      <c r="C51" s="11">
        <v>-9.9688224171462503E-3</v>
      </c>
      <c r="D51" s="11">
        <f t="shared" si="0"/>
        <v>-8.7811249729271841E-4</v>
      </c>
      <c r="E51" s="11">
        <f t="shared" si="1"/>
        <v>7.2019884792084987E-3</v>
      </c>
      <c r="F51" s="11">
        <f t="shared" si="2"/>
        <v>8.9234846473733066E-3</v>
      </c>
    </row>
    <row r="52" spans="1:7" x14ac:dyDescent="0.2">
      <c r="A52" s="14">
        <v>44606</v>
      </c>
      <c r="B52" s="11">
        <v>-1.740116102595235E-2</v>
      </c>
      <c r="C52" s="11">
        <v>-2.184717325480845E-2</v>
      </c>
      <c r="D52" s="11">
        <f t="shared" si="0"/>
        <v>-1.5512439585307316E-2</v>
      </c>
      <c r="E52" s="11">
        <f t="shared" si="1"/>
        <v>4.4460122288560999E-3</v>
      </c>
      <c r="F52" s="11">
        <f t="shared" si="2"/>
        <v>8.29172757225205E-3</v>
      </c>
    </row>
    <row r="53" spans="1:7" x14ac:dyDescent="0.2">
      <c r="A53" s="14">
        <v>44607</v>
      </c>
      <c r="B53" s="11">
        <v>4.1336235815405908E-2</v>
      </c>
      <c r="C53" s="11">
        <v>1.9500796102255521E-2</v>
      </c>
      <c r="D53" s="11">
        <f t="shared" si="0"/>
        <v>4.3224957256050939E-2</v>
      </c>
      <c r="E53" s="11">
        <f t="shared" si="1"/>
        <v>2.1835439713150388E-2</v>
      </c>
      <c r="F53" s="11">
        <f t="shared" si="2"/>
        <v>1.8286850025021326E-2</v>
      </c>
    </row>
    <row r="54" spans="1:7" x14ac:dyDescent="0.2">
      <c r="A54" s="14">
        <v>44608</v>
      </c>
      <c r="B54" s="11">
        <v>-7.8287592181437438E-3</v>
      </c>
      <c r="C54" s="11">
        <v>-1.5661680365972601E-3</v>
      </c>
      <c r="D54" s="11">
        <f t="shared" si="0"/>
        <v>-5.94003777749871E-3</v>
      </c>
      <c r="E54" s="11">
        <f t="shared" si="1"/>
        <v>-6.2625911815464841E-3</v>
      </c>
      <c r="F54" s="11">
        <f t="shared" si="2"/>
        <v>-6.0437513839452367E-3</v>
      </c>
    </row>
    <row r="55" spans="1:7" x14ac:dyDescent="0.2">
      <c r="A55" s="14">
        <v>44609</v>
      </c>
      <c r="B55" s="11">
        <v>8.4885122445739203E-3</v>
      </c>
      <c r="C55" s="11">
        <v>-5.8083138410865987E-3</v>
      </c>
      <c r="D55" s="11">
        <f t="shared" si="0"/>
        <v>1.0377233685218954E-2</v>
      </c>
      <c r="E55" s="11">
        <f t="shared" si="1"/>
        <v>1.4296826085660519E-2</v>
      </c>
      <c r="F55" s="11">
        <f t="shared" si="2"/>
        <v>1.5274293708384677E-2</v>
      </c>
    </row>
    <row r="56" spans="1:7" x14ac:dyDescent="0.2">
      <c r="A56" s="14">
        <v>44610</v>
      </c>
      <c r="B56" s="11">
        <v>-2.266168220835596E-2</v>
      </c>
      <c r="C56" s="11">
        <v>-9.4597897650386953E-3</v>
      </c>
      <c r="D56" s="11">
        <f t="shared" si="0"/>
        <v>-2.0772960767710926E-2</v>
      </c>
      <c r="E56" s="11">
        <f t="shared" si="1"/>
        <v>-1.3201892443317265E-2</v>
      </c>
      <c r="F56" s="11">
        <f t="shared" si="2"/>
        <v>-1.1571427171208938E-2</v>
      </c>
    </row>
    <row r="57" spans="1:7" x14ac:dyDescent="0.2">
      <c r="A57" s="14">
        <v>44613</v>
      </c>
      <c r="B57" s="11">
        <v>-2.1220121433886741E-2</v>
      </c>
      <c r="C57" s="11">
        <v>-2.173882691481566E-2</v>
      </c>
      <c r="D57" s="11">
        <f t="shared" si="0"/>
        <v>-1.9331399993241707E-2</v>
      </c>
      <c r="E57" s="11">
        <f t="shared" si="1"/>
        <v>5.1870548092891947E-4</v>
      </c>
      <c r="F57" s="11">
        <f t="shared" si="2"/>
        <v>4.3450451234279854E-3</v>
      </c>
    </row>
    <row r="58" spans="1:7" x14ac:dyDescent="0.2">
      <c r="A58" s="14">
        <v>44614</v>
      </c>
      <c r="B58" s="11">
        <v>7.1331028270913421E-3</v>
      </c>
      <c r="C58" s="11">
        <v>-6.0212668941517222E-5</v>
      </c>
      <c r="D58" s="11">
        <f t="shared" si="0"/>
        <v>9.0218242677363759E-3</v>
      </c>
      <c r="E58" s="11">
        <f t="shared" si="1"/>
        <v>7.1933154960328594E-3</v>
      </c>
      <c r="F58" s="11">
        <f t="shared" si="2"/>
        <v>7.1428435589719402E-3</v>
      </c>
    </row>
    <row r="59" spans="1:7" x14ac:dyDescent="0.2">
      <c r="A59" s="14">
        <v>44615</v>
      </c>
      <c r="B59" s="11">
        <v>5.5631686500781097E-3</v>
      </c>
      <c r="C59" s="11">
        <v>-3.0260066397194141E-3</v>
      </c>
      <c r="D59" s="11">
        <f t="shared" si="0"/>
        <v>7.4518900907231435E-3</v>
      </c>
      <c r="E59" s="11">
        <f t="shared" si="1"/>
        <v>8.5891752897975238E-3</v>
      </c>
      <c r="F59" s="11">
        <f t="shared" si="2"/>
        <v>9.0690797078898967E-3</v>
      </c>
    </row>
    <row r="60" spans="1:7" x14ac:dyDescent="0.2">
      <c r="A60" s="15">
        <v>44616</v>
      </c>
      <c r="B60" s="9">
        <v>8.9627603618767093E-2</v>
      </c>
      <c r="C60" s="9">
        <v>-3.6271081070104239E-2</v>
      </c>
      <c r="D60" s="9">
        <f t="shared" si="0"/>
        <v>9.1516325059412124E-2</v>
      </c>
      <c r="E60" s="9">
        <f t="shared" si="1"/>
        <v>0.12589868468887133</v>
      </c>
      <c r="F60" s="9">
        <f t="shared" si="2"/>
        <v>0.13232384409666301</v>
      </c>
      <c r="G60" s="27" t="s">
        <v>55</v>
      </c>
    </row>
    <row r="61" spans="1:7" x14ac:dyDescent="0.2">
      <c r="A61" s="16">
        <v>44617</v>
      </c>
      <c r="B61" s="13">
        <v>2.7365760325791081E-2</v>
      </c>
      <c r="C61" s="13">
        <v>3.692587944536263E-2</v>
      </c>
      <c r="D61" s="13">
        <f t="shared" si="0"/>
        <v>2.9254481766436115E-2</v>
      </c>
      <c r="E61" s="13">
        <f t="shared" si="1"/>
        <v>-9.5601191195715494E-3</v>
      </c>
      <c r="F61" s="13">
        <f t="shared" si="2"/>
        <v>-1.6224856551886439E-2</v>
      </c>
      <c r="G61" s="28" t="s">
        <v>56</v>
      </c>
    </row>
    <row r="62" spans="1:7" x14ac:dyDescent="0.2">
      <c r="A62" s="16">
        <v>44620</v>
      </c>
      <c r="B62" s="13">
        <v>0.1054965144887916</v>
      </c>
      <c r="C62" s="13">
        <v>-1.1700727486429139E-2</v>
      </c>
      <c r="D62" s="13">
        <f t="shared" si="0"/>
        <v>0.10738523592943663</v>
      </c>
      <c r="E62" s="13">
        <f t="shared" si="1"/>
        <v>0.11719724197522075</v>
      </c>
      <c r="F62" s="13">
        <f t="shared" si="2"/>
        <v>0.11922845672369436</v>
      </c>
    </row>
    <row r="63" spans="1:7" x14ac:dyDescent="0.2">
      <c r="A63" s="16">
        <v>44621</v>
      </c>
      <c r="B63" s="13">
        <v>-5.0616282214752117E-2</v>
      </c>
      <c r="C63" s="13">
        <v>-4.035948035685244E-2</v>
      </c>
      <c r="D63" s="13">
        <f t="shared" si="0"/>
        <v>-4.8727560774107087E-2</v>
      </c>
      <c r="E63" s="13">
        <f t="shared" si="1"/>
        <v>-1.0256801857899678E-2</v>
      </c>
      <c r="F63" s="13">
        <f t="shared" si="2"/>
        <v>-3.1005092920120408E-3</v>
      </c>
    </row>
    <row r="64" spans="1:7" x14ac:dyDescent="0.2">
      <c r="A64" s="16">
        <v>44622</v>
      </c>
      <c r="B64" s="13">
        <v>-2.6274876887387499E-2</v>
      </c>
      <c r="C64" s="13">
        <v>1.4535891980523409E-2</v>
      </c>
      <c r="D64" s="13">
        <f t="shared" si="0"/>
        <v>-2.4386155446742466E-2</v>
      </c>
      <c r="E64" s="13">
        <f t="shared" si="1"/>
        <v>-4.0810768867910907E-2</v>
      </c>
      <c r="F64" s="13">
        <f t="shared" si="2"/>
        <v>-4.3471479027753265E-2</v>
      </c>
    </row>
    <row r="65" spans="1:6" x14ac:dyDescent="0.2">
      <c r="A65" s="16">
        <v>44623</v>
      </c>
      <c r="B65" s="13">
        <v>-3.8716176114087952E-2</v>
      </c>
      <c r="C65" s="13">
        <v>-2.0627718959837841E-2</v>
      </c>
      <c r="D65" s="13">
        <f t="shared" si="0"/>
        <v>-3.6827454673442922E-2</v>
      </c>
      <c r="E65" s="13">
        <f t="shared" si="1"/>
        <v>-1.8088457154250111E-2</v>
      </c>
      <c r="F65" s="13">
        <f t="shared" si="2"/>
        <v>-1.4460818228371759E-2</v>
      </c>
    </row>
    <row r="66" spans="1:6" x14ac:dyDescent="0.2">
      <c r="A66" s="16">
        <v>44624</v>
      </c>
      <c r="B66" s="13">
        <v>2.8392415355384948E-3</v>
      </c>
      <c r="C66" s="13">
        <v>-4.9647498804508361E-2</v>
      </c>
      <c r="D66" s="13">
        <f t="shared" si="0"/>
        <v>4.7279629761835286E-3</v>
      </c>
      <c r="E66" s="13">
        <f t="shared" si="1"/>
        <v>5.2486740340046856E-2</v>
      </c>
      <c r="F66" s="13">
        <f t="shared" si="2"/>
        <v>6.1304019953383443E-2</v>
      </c>
    </row>
    <row r="67" spans="1:6" x14ac:dyDescent="0.2">
      <c r="A67" s="16">
        <v>44627</v>
      </c>
      <c r="B67" s="13">
        <v>5.834966441789069E-2</v>
      </c>
      <c r="C67" s="13">
        <v>-1.231437452151218E-2</v>
      </c>
      <c r="D67" s="13">
        <f t="shared" si="0"/>
        <v>6.023838585853572E-2</v>
      </c>
      <c r="E67" s="13">
        <f t="shared" si="1"/>
        <v>7.0664038939402873E-2</v>
      </c>
      <c r="F67" s="13">
        <f t="shared" si="2"/>
        <v>7.2804992894653753E-2</v>
      </c>
    </row>
    <row r="68" spans="1:6" x14ac:dyDescent="0.2">
      <c r="A68" s="16">
        <v>44628</v>
      </c>
      <c r="B68" s="13">
        <v>6.7168642616611152E-2</v>
      </c>
      <c r="C68" s="13">
        <v>-1.9730915769600181E-3</v>
      </c>
      <c r="D68" s="13">
        <f t="shared" si="0"/>
        <v>6.9057364057256182E-2</v>
      </c>
      <c r="E68" s="13">
        <f t="shared" si="1"/>
        <v>6.9141734193571169E-2</v>
      </c>
      <c r="F68" s="13">
        <f t="shared" si="2"/>
        <v>6.9433344597050695E-2</v>
      </c>
    </row>
    <row r="69" spans="1:6" x14ac:dyDescent="0.2">
      <c r="A69" s="16">
        <v>44629</v>
      </c>
      <c r="B69" s="13">
        <v>-1.7850424955277999E-3</v>
      </c>
      <c r="C69" s="13">
        <v>7.4381856440753458E-2</v>
      </c>
      <c r="D69" s="13">
        <f t="shared" si="0"/>
        <v>1.0367894511723367E-4</v>
      </c>
      <c r="E69" s="13">
        <f t="shared" si="1"/>
        <v>-7.6166898936281258E-2</v>
      </c>
      <c r="F69" s="13">
        <f t="shared" si="2"/>
        <v>-8.9529931918880215E-2</v>
      </c>
    </row>
    <row r="70" spans="1:6" x14ac:dyDescent="0.2">
      <c r="A70" s="16">
        <v>44630</v>
      </c>
      <c r="B70" s="13">
        <v>-2.3435487034337951E-2</v>
      </c>
      <c r="C70" s="13">
        <v>-3.0438002548747178E-2</v>
      </c>
      <c r="D70" s="13">
        <f t="shared" si="0"/>
        <v>-2.1546765593692917E-2</v>
      </c>
      <c r="E70" s="13">
        <f t="shared" si="1"/>
        <v>7.0025155144092278E-3</v>
      </c>
      <c r="F70" s="13">
        <f t="shared" si="2"/>
        <v>1.2384538765083126E-2</v>
      </c>
    </row>
  </sheetData>
  <mergeCells count="4">
    <mergeCell ref="H35:K35"/>
    <mergeCell ref="H29:K29"/>
    <mergeCell ref="A1:K1"/>
    <mergeCell ref="H41:K4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0"/>
  <sheetViews>
    <sheetView topLeftCell="A27" workbookViewId="0">
      <selection activeCell="K34" sqref="K34"/>
    </sheetView>
  </sheetViews>
  <sheetFormatPr baseColWidth="10" defaultColWidth="8.83203125" defaultRowHeight="15" x14ac:dyDescent="0.2"/>
  <cols>
    <col min="1" max="1" width="13" customWidth="1"/>
    <col min="2" max="6" width="14" customWidth="1"/>
    <col min="7" max="7" width="22" customWidth="1"/>
    <col min="8" max="8" width="28" customWidth="1"/>
    <col min="9" max="11" width="16" customWidth="1"/>
  </cols>
  <sheetData>
    <row r="1" spans="1:11" ht="22" customHeight="1" thickBot="1" x14ac:dyDescent="0.25">
      <c r="A1" s="49" t="s">
        <v>75</v>
      </c>
      <c r="B1" s="44"/>
      <c r="C1" s="44"/>
      <c r="D1" s="44"/>
      <c r="E1" s="44"/>
      <c r="F1" s="44"/>
      <c r="G1" s="44"/>
      <c r="H1" s="44"/>
      <c r="I1" s="44"/>
      <c r="J1" s="44"/>
      <c r="K1" s="45"/>
    </row>
    <row r="2" spans="1:11" x14ac:dyDescent="0.2">
      <c r="A2" s="29"/>
    </row>
    <row r="3" spans="1:11" x14ac:dyDescent="0.2">
      <c r="A3" s="1" t="s">
        <v>21</v>
      </c>
      <c r="B3" s="4">
        <f>AVERAGE(B25:B49)</f>
        <v>-1.4877945094248579E-3</v>
      </c>
      <c r="C3" s="19" t="s">
        <v>22</v>
      </c>
    </row>
    <row r="4" spans="1:11" x14ac:dyDescent="0.2">
      <c r="A4" s="1" t="s">
        <v>23</v>
      </c>
      <c r="B4" s="4">
        <v>-1.4113487841450863E-3</v>
      </c>
      <c r="C4" s="19" t="s">
        <v>24</v>
      </c>
    </row>
    <row r="5" spans="1:11" x14ac:dyDescent="0.2">
      <c r="A5" s="1" t="s">
        <v>25</v>
      </c>
      <c r="B5" s="4">
        <v>4.6214559977171138E-2</v>
      </c>
      <c r="C5" s="19" t="s">
        <v>26</v>
      </c>
    </row>
    <row r="8" spans="1:11" x14ac:dyDescent="0.2">
      <c r="A8" s="1" t="s">
        <v>27</v>
      </c>
      <c r="B8" s="5">
        <v>44616</v>
      </c>
    </row>
    <row r="9" spans="1:11" x14ac:dyDescent="0.2">
      <c r="A9" s="1" t="s">
        <v>28</v>
      </c>
      <c r="B9" s="6">
        <v>10</v>
      </c>
      <c r="C9" s="19" t="s">
        <v>29</v>
      </c>
    </row>
    <row r="10" spans="1:11" x14ac:dyDescent="0.2">
      <c r="A10" s="1" t="s">
        <v>30</v>
      </c>
      <c r="B10" s="6">
        <v>10</v>
      </c>
      <c r="C10" s="19" t="s">
        <v>31</v>
      </c>
    </row>
    <row r="11" spans="1:11" x14ac:dyDescent="0.2">
      <c r="A11" s="1" t="s">
        <v>32</v>
      </c>
      <c r="B11" s="6">
        <v>25</v>
      </c>
      <c r="C11" s="19" t="s">
        <v>33</v>
      </c>
    </row>
    <row r="23" spans="1:11" ht="16" thickBot="1" x14ac:dyDescent="0.25"/>
    <row r="24" spans="1:11" ht="49" thickBot="1" x14ac:dyDescent="0.25">
      <c r="A24" s="22" t="s">
        <v>34</v>
      </c>
      <c r="B24" s="23" t="s">
        <v>58</v>
      </c>
      <c r="C24" s="23" t="s">
        <v>36</v>
      </c>
      <c r="D24" s="23" t="s">
        <v>37</v>
      </c>
      <c r="E24" s="23" t="s">
        <v>38</v>
      </c>
      <c r="F24" s="24" t="s">
        <v>39</v>
      </c>
    </row>
    <row r="25" spans="1:11" ht="17" thickBot="1" x14ac:dyDescent="0.25">
      <c r="A25" s="20">
        <v>44567</v>
      </c>
      <c r="B25" s="21">
        <v>-1.852537977028446E-3</v>
      </c>
      <c r="C25" s="21">
        <v>-1.5331863722152559E-2</v>
      </c>
      <c r="D25" s="21">
        <f t="shared" ref="D25:D70" si="0">B25-$B$3</f>
        <v>-3.6474346760358807E-4</v>
      </c>
      <c r="E25" s="21">
        <f t="shared" ref="E25:E70" si="1">B25-C25</f>
        <v>1.3479325745124114E-2</v>
      </c>
      <c r="F25" s="21">
        <f t="shared" ref="F25:F70" si="2">B25-($B$4+$B$5*C25)</f>
        <v>2.6736614266587412E-4</v>
      </c>
      <c r="H25" s="22" t="s">
        <v>40</v>
      </c>
      <c r="I25" s="23" t="s">
        <v>41</v>
      </c>
      <c r="J25" s="23" t="s">
        <v>42</v>
      </c>
      <c r="K25" s="24" t="s">
        <v>43</v>
      </c>
    </row>
    <row r="26" spans="1:11" x14ac:dyDescent="0.2">
      <c r="A26" s="5">
        <v>44568</v>
      </c>
      <c r="B26" s="7">
        <v>-1.1135857461025409E-3</v>
      </c>
      <c r="C26" s="7">
        <v>-4.3886275262043917E-3</v>
      </c>
      <c r="D26" s="7">
        <f t="shared" si="0"/>
        <v>3.7420876332231704E-4</v>
      </c>
      <c r="E26" s="7">
        <f t="shared" si="1"/>
        <v>3.2750417801018505E-3</v>
      </c>
      <c r="F26" s="7">
        <f t="shared" si="2"/>
        <v>5.0058152806978251E-4</v>
      </c>
      <c r="H26" s="35" t="s">
        <v>44</v>
      </c>
      <c r="I26" s="21">
        <f>STDEV($D$25:$D$49)</f>
        <v>3.4924743628138421E-3</v>
      </c>
      <c r="J26" s="21">
        <f>STDEV($E$25:$E$49)</f>
        <v>1.3774026129234267E-2</v>
      </c>
      <c r="K26" s="21">
        <f>STDEV($F$25:$F$49)</f>
        <v>3.4321428363604982E-3</v>
      </c>
    </row>
    <row r="27" spans="1:11" x14ac:dyDescent="0.2">
      <c r="A27" s="5">
        <v>44571</v>
      </c>
      <c r="B27" s="7">
        <v>-2.4154589371980779E-3</v>
      </c>
      <c r="C27" s="7">
        <v>-1.5400063957615621E-2</v>
      </c>
      <c r="D27" s="7">
        <f t="shared" si="0"/>
        <v>-9.2766442777321998E-4</v>
      </c>
      <c r="E27" s="7">
        <f t="shared" si="1"/>
        <v>1.2984605020417542E-2</v>
      </c>
      <c r="F27" s="7">
        <f t="shared" si="2"/>
        <v>-2.924029736314929E-4</v>
      </c>
      <c r="H27" s="25" t="s">
        <v>45</v>
      </c>
      <c r="I27" s="7">
        <f>I26*SQRT(10)</f>
        <v>1.1044173656237008E-2</v>
      </c>
      <c r="J27" s="7">
        <f>J26*SQRT(10)</f>
        <v>4.3557295119053062E-2</v>
      </c>
      <c r="K27" s="7">
        <f>K26*SQRT(10)</f>
        <v>1.0853388617929742E-2</v>
      </c>
    </row>
    <row r="28" spans="1:11" ht="16" thickBot="1" x14ac:dyDescent="0.25">
      <c r="A28" s="5">
        <v>44572</v>
      </c>
      <c r="B28" s="7">
        <v>1.1175265412552979E-3</v>
      </c>
      <c r="C28" s="7">
        <v>9.9115039763146839E-3</v>
      </c>
      <c r="D28" s="7">
        <f t="shared" si="0"/>
        <v>2.6053210506801561E-3</v>
      </c>
      <c r="E28" s="7">
        <f t="shared" si="1"/>
        <v>-8.7939774350593858E-3</v>
      </c>
      <c r="F28" s="7">
        <f t="shared" si="2"/>
        <v>2.0708195304230191E-3</v>
      </c>
      <c r="H28" s="36" t="s">
        <v>46</v>
      </c>
      <c r="I28" s="37">
        <f>I26*SQRT(21)</f>
        <v>1.6004528130287098E-2</v>
      </c>
      <c r="J28" s="37">
        <f>J26*SQRT(21)</f>
        <v>6.3120517361515624E-2</v>
      </c>
      <c r="K28" s="37">
        <f>K26*SQRT(21)</f>
        <v>1.5728054343522417E-2</v>
      </c>
    </row>
    <row r="29" spans="1:11" ht="16" thickBot="1" x14ac:dyDescent="0.25">
      <c r="A29" s="5">
        <v>44573</v>
      </c>
      <c r="B29" s="7">
        <v>-1.488372093023216E-3</v>
      </c>
      <c r="C29" s="7">
        <v>8.1396173662504623E-3</v>
      </c>
      <c r="D29" s="7">
        <f t="shared" si="0"/>
        <v>-5.7758359835809354E-7</v>
      </c>
      <c r="E29" s="7">
        <f t="shared" si="1"/>
        <v>-9.6279894592736781E-3</v>
      </c>
      <c r="F29" s="7">
        <f t="shared" si="2"/>
        <v>-4.5319214384193537E-4</v>
      </c>
      <c r="H29" s="48" t="s">
        <v>47</v>
      </c>
      <c r="I29" s="44"/>
      <c r="J29" s="44"/>
      <c r="K29" s="45"/>
    </row>
    <row r="30" spans="1:11" x14ac:dyDescent="0.2">
      <c r="A30" s="5">
        <v>44574</v>
      </c>
      <c r="B30" s="7">
        <v>1.490590646543666E-3</v>
      </c>
      <c r="C30" s="7">
        <v>-1.1357508461284919E-4</v>
      </c>
      <c r="D30" s="7">
        <f t="shared" si="0"/>
        <v>2.9783851559685237E-3</v>
      </c>
      <c r="E30" s="7">
        <f t="shared" si="1"/>
        <v>1.6041657311565152E-3</v>
      </c>
      <c r="F30" s="7">
        <f t="shared" si="2"/>
        <v>2.9071882532485053E-3</v>
      </c>
      <c r="H30" s="38" t="s">
        <v>48</v>
      </c>
      <c r="I30" s="39">
        <f>D60</f>
        <v>-3.9207432537584274E-3</v>
      </c>
      <c r="J30" s="39">
        <f>E60</f>
        <v>3.0862543306920953E-2</v>
      </c>
      <c r="K30" s="39">
        <f>F60</f>
        <v>-2.3209369274870299E-3</v>
      </c>
    </row>
    <row r="31" spans="1:11" x14ac:dyDescent="0.2">
      <c r="A31" s="5">
        <v>44575</v>
      </c>
      <c r="B31" s="7">
        <v>-2.9767441860464321E-3</v>
      </c>
      <c r="C31" s="7">
        <v>-1.0127658640498921E-2</v>
      </c>
      <c r="D31" s="7">
        <f t="shared" si="0"/>
        <v>-1.4889496766215741E-3</v>
      </c>
      <c r="E31" s="7">
        <f t="shared" si="1"/>
        <v>7.1509144544524891E-3</v>
      </c>
      <c r="F31" s="7">
        <f t="shared" si="2"/>
        <v>-1.0973501142316929E-3</v>
      </c>
      <c r="H31" s="10" t="s">
        <v>49</v>
      </c>
      <c r="I31" s="11">
        <f>SUM(D50:D59)</f>
        <v>1.0480333055586624E-2</v>
      </c>
      <c r="J31" s="11">
        <f>SUM(E50:E59)</f>
        <v>5.1246712606919605E-2</v>
      </c>
      <c r="K31" s="11">
        <f>SUM(F50:F59)</f>
        <v>1.2287453781511316E-2</v>
      </c>
    </row>
    <row r="32" spans="1:11" x14ac:dyDescent="0.2">
      <c r="A32" s="5">
        <v>44578</v>
      </c>
      <c r="B32" s="7">
        <v>5.598059339428918E-4</v>
      </c>
      <c r="C32" s="7">
        <v>7.0105018089718918E-3</v>
      </c>
      <c r="D32" s="7">
        <f t="shared" si="0"/>
        <v>2.0476004433677497E-3</v>
      </c>
      <c r="E32" s="7">
        <f t="shared" si="1"/>
        <v>-6.450695875029E-3</v>
      </c>
      <c r="F32" s="7">
        <f t="shared" si="2"/>
        <v>1.6471674617671798E-3</v>
      </c>
      <c r="H32" s="12" t="s">
        <v>50</v>
      </c>
      <c r="I32" s="13">
        <f>SUM(D61:D70)</f>
        <v>1.2325687472798955E-2</v>
      </c>
      <c r="J32" s="13">
        <f>SUM(E61:E70)</f>
        <v>3.8665008766758047E-2</v>
      </c>
      <c r="K32" s="13">
        <f>SUM(F61:F70)</f>
        <v>1.3466068049594104E-2</v>
      </c>
    </row>
    <row r="33" spans="1:11" x14ac:dyDescent="0.2">
      <c r="A33" s="5">
        <v>44579</v>
      </c>
      <c r="B33" s="7">
        <v>-2.6109660574412659E-3</v>
      </c>
      <c r="C33" s="7">
        <v>-1.0301922087968761E-2</v>
      </c>
      <c r="D33" s="7">
        <f t="shared" si="0"/>
        <v>-1.1231715480164079E-3</v>
      </c>
      <c r="E33" s="7">
        <f t="shared" si="1"/>
        <v>7.6909560305274943E-3</v>
      </c>
      <c r="F33" s="7">
        <f t="shared" si="2"/>
        <v>-7.2351847708160321E-4</v>
      </c>
      <c r="H33" s="8" t="s">
        <v>51</v>
      </c>
      <c r="I33" s="7">
        <f>SUM(D50:D70)</f>
        <v>1.8885277274627146E-2</v>
      </c>
      <c r="J33" s="7">
        <f>SUM(E50:E70)</f>
        <v>0.1207742646805986</v>
      </c>
      <c r="K33" s="7">
        <f>SUM(F50:F70)</f>
        <v>2.3432584903618381E-2</v>
      </c>
    </row>
    <row r="34" spans="1:11" ht="16" thickBot="1" x14ac:dyDescent="0.25">
      <c r="A34" s="5">
        <v>44580</v>
      </c>
      <c r="B34" s="7">
        <v>-5.6095736723993372E-4</v>
      </c>
      <c r="C34" s="7">
        <v>2.4566471502629468E-3</v>
      </c>
      <c r="D34" s="7">
        <f t="shared" si="0"/>
        <v>9.2683714218492422E-4</v>
      </c>
      <c r="E34" s="7">
        <f t="shared" si="1"/>
        <v>-3.0176045175028805E-3</v>
      </c>
      <c r="F34" s="7">
        <f t="shared" si="2"/>
        <v>7.36858549836579E-4</v>
      </c>
    </row>
    <row r="35" spans="1:11" ht="16" thickBot="1" x14ac:dyDescent="0.25">
      <c r="A35" s="5">
        <v>44581</v>
      </c>
      <c r="B35" s="7">
        <v>2.0579981290926859E-3</v>
      </c>
      <c r="C35" s="7">
        <v>7.3402119125265397E-3</v>
      </c>
      <c r="D35" s="7">
        <f t="shared" si="0"/>
        <v>3.5457926385175438E-3</v>
      </c>
      <c r="E35" s="7">
        <f t="shared" si="1"/>
        <v>-5.2822137834338534E-3</v>
      </c>
      <c r="F35" s="7">
        <f t="shared" si="2"/>
        <v>3.1301222495611685E-3</v>
      </c>
      <c r="H35" s="48" t="s">
        <v>52</v>
      </c>
      <c r="I35" s="44"/>
      <c r="J35" s="44"/>
      <c r="K35" s="45"/>
    </row>
    <row r="36" spans="1:11" x14ac:dyDescent="0.2">
      <c r="A36" s="5">
        <v>44582</v>
      </c>
      <c r="B36" s="7">
        <v>1.3069454817027371E-3</v>
      </c>
      <c r="C36" s="7">
        <v>-1.6292130429257479E-2</v>
      </c>
      <c r="D36" s="7">
        <f t="shared" si="0"/>
        <v>2.794739991127595E-3</v>
      </c>
      <c r="E36" s="7">
        <f t="shared" si="1"/>
        <v>1.7599075910960216E-2</v>
      </c>
      <c r="F36" s="7">
        <f t="shared" si="2"/>
        <v>3.4712279047266381E-3</v>
      </c>
      <c r="H36" s="35" t="s">
        <v>66</v>
      </c>
      <c r="I36" s="21">
        <f t="shared" ref="I36:K37" si="3">I30/I26</f>
        <v>-1.1226262089436025</v>
      </c>
      <c r="J36" s="21">
        <f t="shared" si="3"/>
        <v>2.240633422454287</v>
      </c>
      <c r="K36" s="21">
        <f t="shared" si="3"/>
        <v>-0.67623552927307373</v>
      </c>
    </row>
    <row r="37" spans="1:11" x14ac:dyDescent="0.2">
      <c r="A37" s="5">
        <v>44585</v>
      </c>
      <c r="B37" s="7">
        <v>3.1698676114113589E-3</v>
      </c>
      <c r="C37" s="7">
        <v>-4.1422736347223273E-2</v>
      </c>
      <c r="D37" s="7">
        <f t="shared" si="0"/>
        <v>4.6576621208362168E-3</v>
      </c>
      <c r="E37" s="7">
        <f t="shared" si="1"/>
        <v>4.4592603958634632E-2</v>
      </c>
      <c r="F37" s="7">
        <f t="shared" si="2"/>
        <v>6.4955499288937421E-3</v>
      </c>
      <c r="H37" s="25" t="s">
        <v>67</v>
      </c>
      <c r="I37" s="7">
        <f t="shared" si="3"/>
        <v>0.94894678242115782</v>
      </c>
      <c r="J37" s="7">
        <f t="shared" si="3"/>
        <v>1.1765356977941221</v>
      </c>
      <c r="K37" s="7">
        <f t="shared" si="3"/>
        <v>1.1321306380951388</v>
      </c>
    </row>
    <row r="38" spans="1:11" x14ac:dyDescent="0.2">
      <c r="A38" s="5">
        <v>44586</v>
      </c>
      <c r="B38" s="7">
        <v>-3.1598513011151801E-3</v>
      </c>
      <c r="C38" s="7">
        <v>5.8948642228398018E-3</v>
      </c>
      <c r="D38" s="7">
        <f t="shared" si="0"/>
        <v>-1.6720567916903221E-3</v>
      </c>
      <c r="E38" s="7">
        <f t="shared" si="1"/>
        <v>-9.0547155239549815E-3</v>
      </c>
      <c r="F38" s="7">
        <f t="shared" si="2"/>
        <v>-2.0209310731538043E-3</v>
      </c>
      <c r="H38" s="25" t="s">
        <v>68</v>
      </c>
      <c r="I38" s="7">
        <f t="shared" ref="I38:K39" si="4">I32/I27</f>
        <v>1.1160352830778093</v>
      </c>
      <c r="J38" s="7">
        <f t="shared" si="4"/>
        <v>0.88768158493489635</v>
      </c>
      <c r="K38" s="7">
        <f t="shared" si="4"/>
        <v>1.2407247656596603</v>
      </c>
    </row>
    <row r="39" spans="1:11" x14ac:dyDescent="0.2">
      <c r="A39" s="5">
        <v>44587</v>
      </c>
      <c r="B39" s="7">
        <v>-1.3052396046988599E-3</v>
      </c>
      <c r="C39" s="7">
        <v>2.1170814926924519E-2</v>
      </c>
      <c r="D39" s="7">
        <f t="shared" si="0"/>
        <v>1.8255490472599803E-4</v>
      </c>
      <c r="E39" s="7">
        <f t="shared" si="1"/>
        <v>-2.247605453162338E-2</v>
      </c>
      <c r="F39" s="7">
        <f t="shared" si="2"/>
        <v>-8.7229071675971686E-4</v>
      </c>
      <c r="H39" s="25" t="s">
        <v>69</v>
      </c>
      <c r="I39" s="7">
        <f t="shared" si="4"/>
        <v>1.1799958812211711</v>
      </c>
      <c r="J39" s="7">
        <f t="shared" si="4"/>
        <v>1.9133915520507803</v>
      </c>
      <c r="K39" s="7">
        <f t="shared" si="4"/>
        <v>1.4898591009299931</v>
      </c>
    </row>
    <row r="40" spans="1:11" ht="16" thickBot="1" x14ac:dyDescent="0.25">
      <c r="A40" s="5">
        <v>44588</v>
      </c>
      <c r="B40" s="7">
        <v>1.3069454817027371E-3</v>
      </c>
      <c r="C40" s="7">
        <v>4.8912540723811126E-3</v>
      </c>
      <c r="D40" s="7">
        <f t="shared" si="0"/>
        <v>2.794739991127595E-3</v>
      </c>
      <c r="E40" s="7">
        <f t="shared" si="1"/>
        <v>-3.5843085906783756E-3</v>
      </c>
      <c r="F40" s="7">
        <f t="shared" si="2"/>
        <v>2.4922471111561836E-3</v>
      </c>
    </row>
    <row r="41" spans="1:11" ht="16" thickBot="1" x14ac:dyDescent="0.25">
      <c r="A41" s="5">
        <v>44589</v>
      </c>
      <c r="B41" s="7">
        <v>-5.5938840201386064E-4</v>
      </c>
      <c r="C41" s="7">
        <v>-1.1483966701431919E-2</v>
      </c>
      <c r="D41" s="7">
        <f t="shared" si="0"/>
        <v>9.2840610741099731E-4</v>
      </c>
      <c r="E41" s="7">
        <f t="shared" si="1"/>
        <v>1.0924578299418059E-2</v>
      </c>
      <c r="F41" s="7">
        <f t="shared" si="2"/>
        <v>1.3826868500303874E-3</v>
      </c>
      <c r="H41" s="48" t="s">
        <v>53</v>
      </c>
      <c r="I41" s="44"/>
      <c r="J41" s="44"/>
      <c r="K41" s="45"/>
    </row>
    <row r="42" spans="1:11" x14ac:dyDescent="0.2">
      <c r="A42" s="5">
        <v>44592</v>
      </c>
      <c r="B42" s="7">
        <v>-3.5447761194030698E-3</v>
      </c>
      <c r="C42" s="7">
        <v>9.1106502154292279E-3</v>
      </c>
      <c r="D42" s="7">
        <f t="shared" si="0"/>
        <v>-2.0569816099782119E-3</v>
      </c>
      <c r="E42" s="7">
        <f t="shared" si="1"/>
        <v>-1.2655426334832298E-2</v>
      </c>
      <c r="F42" s="7">
        <f t="shared" si="2"/>
        <v>-2.5544720260699647E-3</v>
      </c>
      <c r="H42" s="35" t="s">
        <v>70</v>
      </c>
      <c r="I42" s="21">
        <v>0.27270194015633392</v>
      </c>
      <c r="J42" s="21">
        <v>3.4570717310018283E-2</v>
      </c>
      <c r="K42" s="21">
        <v>0.50535630148770228</v>
      </c>
    </row>
    <row r="43" spans="1:11" x14ac:dyDescent="0.2">
      <c r="A43" s="5">
        <v>44593</v>
      </c>
      <c r="B43" s="7">
        <v>-2.0595394120951349E-3</v>
      </c>
      <c r="C43" s="7">
        <v>1.1941286947278361E-2</v>
      </c>
      <c r="D43" s="7">
        <f t="shared" si="0"/>
        <v>-5.7174490267027697E-4</v>
      </c>
      <c r="E43" s="7">
        <f t="shared" si="1"/>
        <v>-1.4000826359373495E-2</v>
      </c>
      <c r="F43" s="7">
        <f t="shared" si="2"/>
        <v>-1.2000519497796553E-3</v>
      </c>
      <c r="H43" s="25" t="s">
        <v>71</v>
      </c>
      <c r="I43" s="7">
        <v>0.35210608925822329</v>
      </c>
      <c r="J43" s="7">
        <v>0.25091888560220138</v>
      </c>
      <c r="K43" s="7">
        <v>0.26876455317389264</v>
      </c>
    </row>
    <row r="44" spans="1:11" x14ac:dyDescent="0.2">
      <c r="A44" s="5">
        <v>44594</v>
      </c>
      <c r="B44" s="7">
        <v>0</v>
      </c>
      <c r="C44" s="7">
        <v>-5.6821373528403996E-4</v>
      </c>
      <c r="D44" s="7">
        <f t="shared" si="0"/>
        <v>1.4877945094248579E-3</v>
      </c>
      <c r="E44" s="7">
        <f t="shared" si="1"/>
        <v>5.6821373528403996E-4</v>
      </c>
      <c r="F44" s="7">
        <f t="shared" si="2"/>
        <v>1.4376085318942231E-3</v>
      </c>
      <c r="H44" s="25" t="s">
        <v>72</v>
      </c>
      <c r="I44" s="7">
        <v>0.27545688976081412</v>
      </c>
      <c r="J44" s="7">
        <v>0.38352201488925841</v>
      </c>
      <c r="K44" s="7">
        <v>0.22669959410983356</v>
      </c>
    </row>
    <row r="45" spans="1:11" x14ac:dyDescent="0.2">
      <c r="A45" s="5">
        <v>44595</v>
      </c>
      <c r="B45" s="7">
        <v>-1.257035647279536E-2</v>
      </c>
      <c r="C45" s="7">
        <v>-1.9192048626780141E-2</v>
      </c>
      <c r="D45" s="7">
        <f t="shared" si="0"/>
        <v>-1.1082561963370503E-2</v>
      </c>
      <c r="E45" s="7">
        <f t="shared" si="1"/>
        <v>6.6216921539847817E-3</v>
      </c>
      <c r="F45" s="7">
        <f t="shared" si="2"/>
        <v>-1.0272055606303157E-2</v>
      </c>
      <c r="H45" s="25" t="s">
        <v>73</v>
      </c>
      <c r="I45" s="7">
        <v>0.24956608201321293</v>
      </c>
      <c r="J45" s="7">
        <v>6.7699440140750938E-2</v>
      </c>
      <c r="K45" s="7">
        <v>0.14928689423604941</v>
      </c>
    </row>
    <row r="46" spans="1:11" x14ac:dyDescent="0.2">
      <c r="A46" s="5">
        <v>44596</v>
      </c>
      <c r="B46" s="7">
        <v>-9.3102793083792434E-3</v>
      </c>
      <c r="C46" s="7">
        <v>-1.3146505244959529E-2</v>
      </c>
      <c r="D46" s="7">
        <f t="shared" si="0"/>
        <v>-7.8224847989543864E-3</v>
      </c>
      <c r="E46" s="7">
        <f t="shared" si="1"/>
        <v>3.8362259365802859E-3</v>
      </c>
      <c r="F46" s="7">
        <f t="shared" si="2"/>
        <v>-7.2913705691007805E-3</v>
      </c>
    </row>
    <row r="47" spans="1:11" x14ac:dyDescent="0.2">
      <c r="A47" s="5">
        <v>44599</v>
      </c>
      <c r="B47" s="7">
        <v>-3.8358266206367508E-3</v>
      </c>
      <c r="C47" s="7">
        <v>8.3150164242813407E-3</v>
      </c>
      <c r="D47" s="7">
        <f t="shared" si="0"/>
        <v>-2.3480321112118929E-3</v>
      </c>
      <c r="E47" s="7">
        <f t="shared" si="1"/>
        <v>-1.2150843044918092E-2</v>
      </c>
      <c r="F47" s="7">
        <f t="shared" si="2"/>
        <v>-2.8087526617427776E-3</v>
      </c>
      <c r="H47" s="19" t="s">
        <v>62</v>
      </c>
    </row>
    <row r="48" spans="1:11" x14ac:dyDescent="0.2">
      <c r="A48" s="5">
        <v>44600</v>
      </c>
      <c r="B48" s="7">
        <v>-1.540238737004151E-3</v>
      </c>
      <c r="C48" s="7">
        <v>2.1089223995476298E-3</v>
      </c>
      <c r="D48" s="7">
        <f t="shared" si="0"/>
        <v>-5.2444227579293099E-5</v>
      </c>
      <c r="E48" s="7">
        <f t="shared" si="1"/>
        <v>-3.6491611365517809E-3</v>
      </c>
      <c r="F48" s="7">
        <f t="shared" si="2"/>
        <v>-2.2635287358015828E-4</v>
      </c>
      <c r="H48" s="19" t="s">
        <v>63</v>
      </c>
    </row>
    <row r="49" spans="1:7" x14ac:dyDescent="0.2">
      <c r="A49" s="5">
        <v>44601</v>
      </c>
      <c r="B49" s="7">
        <v>2.6995757809487042E-3</v>
      </c>
      <c r="C49" s="7">
        <v>1.812431888357446E-2</v>
      </c>
      <c r="D49" s="7">
        <f t="shared" si="0"/>
        <v>4.1873702903735622E-3</v>
      </c>
      <c r="E49" s="7">
        <f t="shared" si="1"/>
        <v>-1.5424743102625756E-2</v>
      </c>
      <c r="F49" s="7">
        <f t="shared" si="2"/>
        <v>3.2733171430034632E-3</v>
      </c>
    </row>
    <row r="50" spans="1:7" x14ac:dyDescent="0.2">
      <c r="A50" s="14">
        <v>44602</v>
      </c>
      <c r="B50" s="11">
        <v>-4.6153846153846878E-3</v>
      </c>
      <c r="C50" s="11">
        <v>-1.6698072096832379E-3</v>
      </c>
      <c r="D50" s="11">
        <f t="shared" si="0"/>
        <v>-3.1275901059598299E-3</v>
      </c>
      <c r="E50" s="11">
        <f t="shared" si="1"/>
        <v>-2.9455774057014499E-3</v>
      </c>
      <c r="F50" s="11">
        <f t="shared" si="2"/>
        <v>-3.1268664257973824E-3</v>
      </c>
      <c r="G50" s="26" t="s">
        <v>54</v>
      </c>
    </row>
    <row r="51" spans="1:7" x14ac:dyDescent="0.2">
      <c r="A51" s="14">
        <v>44603</v>
      </c>
      <c r="B51" s="11">
        <v>-3.0911901081915878E-3</v>
      </c>
      <c r="C51" s="11">
        <v>-9.9688224171462503E-3</v>
      </c>
      <c r="D51" s="11">
        <f t="shared" si="0"/>
        <v>-1.6033955987667299E-3</v>
      </c>
      <c r="E51" s="11">
        <f t="shared" si="1"/>
        <v>6.877632308954662E-3</v>
      </c>
      <c r="F51" s="11">
        <f t="shared" si="2"/>
        <v>-1.219136582547528E-3</v>
      </c>
    </row>
    <row r="52" spans="1:7" x14ac:dyDescent="0.2">
      <c r="A52" s="14">
        <v>44606</v>
      </c>
      <c r="B52" s="11">
        <v>1.1627906976743321E-3</v>
      </c>
      <c r="C52" s="11">
        <v>-2.184717325480845E-2</v>
      </c>
      <c r="D52" s="11">
        <f t="shared" si="0"/>
        <v>2.6505852070991898E-3</v>
      </c>
      <c r="E52" s="11">
        <f t="shared" si="1"/>
        <v>2.3009963952482781E-2</v>
      </c>
      <c r="F52" s="11">
        <f t="shared" si="2"/>
        <v>3.5837969805354126E-3</v>
      </c>
    </row>
    <row r="53" spans="1:7" x14ac:dyDescent="0.2">
      <c r="A53" s="14">
        <v>44607</v>
      </c>
      <c r="B53" s="11">
        <v>-7.7429345722024312E-4</v>
      </c>
      <c r="C53" s="11">
        <v>1.9500796102255521E-2</v>
      </c>
      <c r="D53" s="11">
        <f t="shared" si="0"/>
        <v>7.1350105220461483E-4</v>
      </c>
      <c r="E53" s="11">
        <f t="shared" si="1"/>
        <v>-2.0275089559475764E-2</v>
      </c>
      <c r="F53" s="11">
        <f t="shared" si="2"/>
        <v>-2.6416538414542978E-4</v>
      </c>
    </row>
    <row r="54" spans="1:7" x14ac:dyDescent="0.2">
      <c r="A54" s="14">
        <v>44608</v>
      </c>
      <c r="B54" s="11">
        <v>-3.8744672607504688E-4</v>
      </c>
      <c r="C54" s="11">
        <v>-1.5661680365972601E-3</v>
      </c>
      <c r="D54" s="11">
        <f t="shared" si="0"/>
        <v>1.100347783349811E-3</v>
      </c>
      <c r="E54" s="11">
        <f t="shared" si="1"/>
        <v>1.1787213105222132E-3</v>
      </c>
      <c r="F54" s="11">
        <f t="shared" si="2"/>
        <v>1.0962818247316917E-3</v>
      </c>
    </row>
    <row r="55" spans="1:7" x14ac:dyDescent="0.2">
      <c r="A55" s="14">
        <v>44609</v>
      </c>
      <c r="B55" s="11">
        <v>5.8139534883721034E-3</v>
      </c>
      <c r="C55" s="11">
        <v>-5.8083138410865987E-3</v>
      </c>
      <c r="D55" s="11">
        <f t="shared" si="0"/>
        <v>7.3017479977969613E-3</v>
      </c>
      <c r="E55" s="11">
        <f t="shared" si="1"/>
        <v>1.1622267329458702E-2</v>
      </c>
      <c r="F55" s="11">
        <f t="shared" si="2"/>
        <v>7.4937309408923194E-3</v>
      </c>
    </row>
    <row r="56" spans="1:7" x14ac:dyDescent="0.2">
      <c r="A56" s="14">
        <v>44610</v>
      </c>
      <c r="B56" s="11">
        <v>-5.7803468208095232E-4</v>
      </c>
      <c r="C56" s="11">
        <v>-9.4597897650386953E-3</v>
      </c>
      <c r="D56" s="11">
        <f t="shared" si="0"/>
        <v>9.0975982734390563E-4</v>
      </c>
      <c r="E56" s="11">
        <f t="shared" si="1"/>
        <v>8.881755082957743E-3</v>
      </c>
      <c r="F56" s="11">
        <f t="shared" si="2"/>
        <v>1.2704941235319445E-3</v>
      </c>
    </row>
    <row r="57" spans="1:7" x14ac:dyDescent="0.2">
      <c r="A57" s="14">
        <v>44613</v>
      </c>
      <c r="B57" s="11">
        <v>-1.349527665317152E-3</v>
      </c>
      <c r="C57" s="11">
        <v>-2.173882691481566E-2</v>
      </c>
      <c r="D57" s="11">
        <f t="shared" si="0"/>
        <v>1.38266844107706E-4</v>
      </c>
      <c r="E57" s="11">
        <f t="shared" si="1"/>
        <v>2.0389299249498508E-2</v>
      </c>
      <c r="F57" s="11">
        <f t="shared" si="2"/>
        <v>1.0664714391160248E-3</v>
      </c>
    </row>
    <row r="58" spans="1:7" x14ac:dyDescent="0.2">
      <c r="A58" s="14">
        <v>44614</v>
      </c>
      <c r="B58" s="11">
        <v>-1.158301158301067E-3</v>
      </c>
      <c r="C58" s="11">
        <v>-6.0212668941517222E-5</v>
      </c>
      <c r="D58" s="11">
        <f t="shared" si="0"/>
        <v>3.29493351123791E-4</v>
      </c>
      <c r="E58" s="11">
        <f t="shared" si="1"/>
        <v>-1.0980884893595497E-3</v>
      </c>
      <c r="F58" s="11">
        <f t="shared" si="2"/>
        <v>2.558303278442026E-4</v>
      </c>
    </row>
    <row r="59" spans="1:7" x14ac:dyDescent="0.2">
      <c r="A59" s="14">
        <v>44615</v>
      </c>
      <c r="B59" s="11">
        <v>5.7982218786234441E-4</v>
      </c>
      <c r="C59" s="11">
        <v>-3.0260066397194141E-3</v>
      </c>
      <c r="D59" s="11">
        <f t="shared" si="0"/>
        <v>2.0676166972872024E-3</v>
      </c>
      <c r="E59" s="11">
        <f t="shared" si="1"/>
        <v>3.6058288275817585E-3</v>
      </c>
      <c r="F59" s="11">
        <f t="shared" si="2"/>
        <v>2.1310165373500615E-3</v>
      </c>
    </row>
    <row r="60" spans="1:7" x14ac:dyDescent="0.2">
      <c r="A60" s="15">
        <v>44616</v>
      </c>
      <c r="B60" s="9">
        <v>-5.4085377631832854E-3</v>
      </c>
      <c r="C60" s="9">
        <v>-3.6271081070104239E-2</v>
      </c>
      <c r="D60" s="9">
        <f t="shared" si="0"/>
        <v>-3.9207432537584274E-3</v>
      </c>
      <c r="E60" s="9">
        <f t="shared" si="1"/>
        <v>3.0862543306920953E-2</v>
      </c>
      <c r="F60" s="9">
        <f t="shared" si="2"/>
        <v>-2.3209369274870299E-3</v>
      </c>
      <c r="G60" s="27" t="s">
        <v>55</v>
      </c>
    </row>
    <row r="61" spans="1:7" x14ac:dyDescent="0.2">
      <c r="A61" s="16">
        <v>44617</v>
      </c>
      <c r="B61" s="13">
        <v>5.6321615847736428E-3</v>
      </c>
      <c r="C61" s="13">
        <v>3.692587944536263E-2</v>
      </c>
      <c r="D61" s="13">
        <f t="shared" si="0"/>
        <v>7.1199560941985008E-3</v>
      </c>
      <c r="E61" s="13">
        <f t="shared" si="1"/>
        <v>-3.1293717860588988E-2</v>
      </c>
      <c r="F61" s="13">
        <f t="shared" si="2"/>
        <v>5.336997098581227E-3</v>
      </c>
      <c r="G61" s="28" t="s">
        <v>56</v>
      </c>
    </row>
    <row r="62" spans="1:7" x14ac:dyDescent="0.2">
      <c r="A62" s="16">
        <v>44620</v>
      </c>
      <c r="B62" s="13">
        <v>3.8624951718801981E-4</v>
      </c>
      <c r="C62" s="13">
        <v>-1.1700727486429139E-2</v>
      </c>
      <c r="D62" s="13">
        <f t="shared" si="0"/>
        <v>1.8740440266128778E-3</v>
      </c>
      <c r="E62" s="13">
        <f t="shared" si="1"/>
        <v>1.2086977003617159E-2</v>
      </c>
      <c r="F62" s="13">
        <f t="shared" si="2"/>
        <v>2.3383422735312204E-3</v>
      </c>
    </row>
    <row r="63" spans="1:7" x14ac:dyDescent="0.2">
      <c r="A63" s="16">
        <v>44621</v>
      </c>
      <c r="B63" s="13">
        <v>2.2007722007721942E-2</v>
      </c>
      <c r="C63" s="13">
        <v>-4.035948035685244E-2</v>
      </c>
      <c r="D63" s="13">
        <f t="shared" si="0"/>
        <v>2.3495516517146799E-2</v>
      </c>
      <c r="E63" s="13">
        <f t="shared" si="1"/>
        <v>6.2367202364574381E-2</v>
      </c>
      <c r="F63" s="13">
        <f t="shared" si="2"/>
        <v>2.5284266417466245E-2</v>
      </c>
    </row>
    <row r="64" spans="1:7" x14ac:dyDescent="0.2">
      <c r="A64" s="16">
        <v>44622</v>
      </c>
      <c r="B64" s="13">
        <v>-7.5557234605213566E-3</v>
      </c>
      <c r="C64" s="13">
        <v>1.4535891980523409E-2</v>
      </c>
      <c r="D64" s="13">
        <f t="shared" si="0"/>
        <v>-6.0679289510964986E-3</v>
      </c>
      <c r="E64" s="13">
        <f t="shared" si="1"/>
        <v>-2.2091615441044765E-2</v>
      </c>
      <c r="F64" s="13">
        <f t="shared" si="2"/>
        <v>-6.8161445281318504E-3</v>
      </c>
    </row>
    <row r="65" spans="1:6" x14ac:dyDescent="0.2">
      <c r="A65" s="16">
        <v>44623</v>
      </c>
      <c r="B65" s="13">
        <v>-2.4743052912067349E-3</v>
      </c>
      <c r="C65" s="13">
        <v>-2.0627718959837841E-2</v>
      </c>
      <c r="D65" s="13">
        <f t="shared" si="0"/>
        <v>-9.8651078178187699E-4</v>
      </c>
      <c r="E65" s="13">
        <f t="shared" si="1"/>
        <v>1.8153413668631106E-2</v>
      </c>
      <c r="F65" s="13">
        <f t="shared" si="2"/>
        <v>-1.0965555199999233E-4</v>
      </c>
    </row>
    <row r="66" spans="1:6" x14ac:dyDescent="0.2">
      <c r="A66" s="16">
        <v>44624</v>
      </c>
      <c r="B66" s="13">
        <v>1.450104941805019E-2</v>
      </c>
      <c r="C66" s="13">
        <v>-4.9647498804508361E-2</v>
      </c>
      <c r="D66" s="13">
        <f t="shared" si="0"/>
        <v>1.5988843927475047E-2</v>
      </c>
      <c r="E66" s="13">
        <f t="shared" si="1"/>
        <v>6.4148548222558555E-2</v>
      </c>
      <c r="F66" s="13">
        <f t="shared" si="2"/>
        <v>1.8206835513412761E-2</v>
      </c>
    </row>
    <row r="67" spans="1:6" x14ac:dyDescent="0.2">
      <c r="A67" s="16">
        <v>44627</v>
      </c>
      <c r="B67" s="13">
        <v>-6.3945834116984068E-3</v>
      </c>
      <c r="C67" s="13">
        <v>-1.231437452151218E-2</v>
      </c>
      <c r="D67" s="13">
        <f t="shared" si="0"/>
        <v>-4.9067889022735489E-3</v>
      </c>
      <c r="E67" s="13">
        <f t="shared" si="1"/>
        <v>5.9197911098137733E-3</v>
      </c>
      <c r="F67" s="13">
        <f t="shared" si="2"/>
        <v>-4.4141312276475475E-3</v>
      </c>
    </row>
    <row r="68" spans="1:6" x14ac:dyDescent="0.2">
      <c r="A68" s="16">
        <v>44628</v>
      </c>
      <c r="B68" s="13">
        <v>-1.1925042589437719E-2</v>
      </c>
      <c r="C68" s="13">
        <v>-1.9730915769600181E-3</v>
      </c>
      <c r="D68" s="13">
        <f t="shared" si="0"/>
        <v>-1.0437248080012861E-2</v>
      </c>
      <c r="E68" s="13">
        <f t="shared" si="1"/>
        <v>-9.9519510124777017E-3</v>
      </c>
      <c r="F68" s="13">
        <f t="shared" si="2"/>
        <v>-1.0422508246268763E-2</v>
      </c>
    </row>
    <row r="69" spans="1:6" x14ac:dyDescent="0.2">
      <c r="A69" s="16">
        <v>44629</v>
      </c>
      <c r="B69" s="13">
        <v>-5.7471264367816577E-3</v>
      </c>
      <c r="C69" s="13">
        <v>7.4381856440753458E-2</v>
      </c>
      <c r="D69" s="13">
        <f t="shared" si="0"/>
        <v>-4.2593319273567997E-3</v>
      </c>
      <c r="E69" s="13">
        <f t="shared" si="1"/>
        <v>-8.0128982877535115E-2</v>
      </c>
      <c r="F69" s="13">
        <f t="shared" si="2"/>
        <v>-7.7733024183311052E-3</v>
      </c>
    </row>
    <row r="70" spans="1:6" x14ac:dyDescent="0.2">
      <c r="A70" s="16">
        <v>44630</v>
      </c>
      <c r="B70" s="13">
        <v>-1.0982658959537541E-2</v>
      </c>
      <c r="C70" s="13">
        <v>-3.0438002548747178E-2</v>
      </c>
      <c r="D70" s="13">
        <f t="shared" si="0"/>
        <v>-9.4948644501126819E-3</v>
      </c>
      <c r="E70" s="13">
        <f t="shared" si="1"/>
        <v>1.9455343589209639E-2</v>
      </c>
      <c r="F70" s="13">
        <f t="shared" si="2"/>
        <v>-8.1646312810180893E-3</v>
      </c>
    </row>
  </sheetData>
  <mergeCells count="4">
    <mergeCell ref="H35:K35"/>
    <mergeCell ref="H29:K29"/>
    <mergeCell ref="A1:K1"/>
    <mergeCell ref="H41:K4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0"/>
  <sheetViews>
    <sheetView zoomScale="75" workbookViewId="0">
      <selection activeCell="G36" sqref="G36"/>
    </sheetView>
  </sheetViews>
  <sheetFormatPr baseColWidth="10" defaultColWidth="8.83203125" defaultRowHeight="15" x14ac:dyDescent="0.2"/>
  <cols>
    <col min="1" max="1" width="13" customWidth="1"/>
    <col min="2" max="6" width="14" customWidth="1"/>
    <col min="7" max="7" width="22" customWidth="1"/>
    <col min="8" max="8" width="28" customWidth="1"/>
    <col min="9" max="11" width="16" customWidth="1"/>
  </cols>
  <sheetData>
    <row r="1" spans="1:11" ht="22" customHeight="1" thickBot="1" x14ac:dyDescent="0.25">
      <c r="A1" s="49" t="s">
        <v>76</v>
      </c>
      <c r="B1" s="44"/>
      <c r="C1" s="44"/>
      <c r="D1" s="44"/>
      <c r="E1" s="44"/>
      <c r="F1" s="44"/>
      <c r="G1" s="44"/>
      <c r="H1" s="44"/>
      <c r="I1" s="44"/>
      <c r="J1" s="44"/>
      <c r="K1" s="45"/>
    </row>
    <row r="2" spans="1:11" x14ac:dyDescent="0.2">
      <c r="A2" s="29"/>
    </row>
    <row r="3" spans="1:11" x14ac:dyDescent="0.2">
      <c r="A3" s="1" t="s">
        <v>21</v>
      </c>
      <c r="B3" s="4">
        <f>AVERAGE(B25:B49)</f>
        <v>5.1124013447471084E-3</v>
      </c>
      <c r="C3" s="19" t="s">
        <v>22</v>
      </c>
    </row>
    <row r="4" spans="1:11" x14ac:dyDescent="0.2">
      <c r="A4" s="1" t="s">
        <v>23</v>
      </c>
      <c r="B4" s="4">
        <v>5.4217997722704539E-3</v>
      </c>
      <c r="C4" s="19" t="s">
        <v>24</v>
      </c>
    </row>
    <row r="5" spans="1:11" x14ac:dyDescent="0.2">
      <c r="A5" s="1" t="s">
        <v>25</v>
      </c>
      <c r="B5" s="4">
        <v>0.18704397313637175</v>
      </c>
      <c r="C5" s="19" t="s">
        <v>26</v>
      </c>
    </row>
    <row r="8" spans="1:11" x14ac:dyDescent="0.2">
      <c r="A8" s="1" t="s">
        <v>27</v>
      </c>
      <c r="B8" s="5">
        <v>44616</v>
      </c>
    </row>
    <row r="9" spans="1:11" x14ac:dyDescent="0.2">
      <c r="A9" s="1" t="s">
        <v>28</v>
      </c>
      <c r="B9" s="6">
        <v>10</v>
      </c>
      <c r="C9" s="19" t="s">
        <v>29</v>
      </c>
    </row>
    <row r="10" spans="1:11" x14ac:dyDescent="0.2">
      <c r="A10" s="1" t="s">
        <v>30</v>
      </c>
      <c r="B10" s="6">
        <v>10</v>
      </c>
      <c r="C10" s="19" t="s">
        <v>31</v>
      </c>
    </row>
    <row r="11" spans="1:11" x14ac:dyDescent="0.2">
      <c r="A11" s="1" t="s">
        <v>32</v>
      </c>
      <c r="B11" s="6">
        <v>25</v>
      </c>
      <c r="C11" s="19" t="s">
        <v>33</v>
      </c>
    </row>
    <row r="23" spans="1:11" ht="16" thickBot="1" x14ac:dyDescent="0.25"/>
    <row r="24" spans="1:11" ht="36" customHeight="1" thickBot="1" x14ac:dyDescent="0.25">
      <c r="A24" s="22" t="s">
        <v>34</v>
      </c>
      <c r="B24" s="23" t="s">
        <v>59</v>
      </c>
      <c r="C24" s="23" t="s">
        <v>36</v>
      </c>
      <c r="D24" s="23" t="s">
        <v>37</v>
      </c>
      <c r="E24" s="23" t="s">
        <v>38</v>
      </c>
      <c r="F24" s="24" t="s">
        <v>39</v>
      </c>
    </row>
    <row r="25" spans="1:11" ht="17" thickBot="1" x14ac:dyDescent="0.25">
      <c r="A25" s="20">
        <v>44567</v>
      </c>
      <c r="B25" s="21">
        <v>1.47277227722773E-2</v>
      </c>
      <c r="C25" s="21">
        <v>-1.5331863722152559E-2</v>
      </c>
      <c r="D25" s="21">
        <f t="shared" ref="D25:D70" si="0">B25-$B$3</f>
        <v>9.6153214275301914E-3</v>
      </c>
      <c r="E25" s="21">
        <f t="shared" ref="E25:E70" si="1">B25-C25</f>
        <v>3.0059586494429857E-2</v>
      </c>
      <c r="F25" s="21">
        <f t="shared" ref="F25:F70" si="2">B25-($B$4+$B$5*C25)</f>
        <v>1.2173655706183662E-2</v>
      </c>
      <c r="H25" s="22" t="s">
        <v>40</v>
      </c>
      <c r="I25" s="23" t="s">
        <v>41</v>
      </c>
      <c r="J25" s="23" t="s">
        <v>42</v>
      </c>
      <c r="K25" s="24" t="s">
        <v>43</v>
      </c>
    </row>
    <row r="26" spans="1:11" x14ac:dyDescent="0.2">
      <c r="A26" s="5">
        <v>44568</v>
      </c>
      <c r="B26" s="7">
        <v>-2.9271862422245438E-3</v>
      </c>
      <c r="C26" s="7">
        <v>-4.3886275262043917E-3</v>
      </c>
      <c r="D26" s="7">
        <f t="shared" si="0"/>
        <v>-8.0395875869716527E-3</v>
      </c>
      <c r="E26" s="7">
        <f t="shared" si="1"/>
        <v>1.4614412839798478E-3</v>
      </c>
      <c r="F26" s="7">
        <f t="shared" si="2"/>
        <v>-7.5281196853780822E-3</v>
      </c>
      <c r="H26" s="35" t="s">
        <v>44</v>
      </c>
      <c r="I26" s="21">
        <f>STDEV($D$25:$D$49)</f>
        <v>1.4714308135902984E-2</v>
      </c>
      <c r="J26" s="21">
        <f>STDEV($E$25:$E$49)</f>
        <v>1.8410407174249917E-2</v>
      </c>
      <c r="K26" s="21">
        <f>STDEV($F$25:$F$49)</f>
        <v>1.4479899730123886E-2</v>
      </c>
    </row>
    <row r="27" spans="1:11" x14ac:dyDescent="0.2">
      <c r="A27" s="5">
        <v>44571</v>
      </c>
      <c r="B27" s="7">
        <v>-1.076452599388378E-2</v>
      </c>
      <c r="C27" s="7">
        <v>-1.5400063957615621E-2</v>
      </c>
      <c r="D27" s="7">
        <f t="shared" si="0"/>
        <v>-1.5876927338630886E-2</v>
      </c>
      <c r="E27" s="7">
        <f t="shared" si="1"/>
        <v>4.6355379637318412E-3</v>
      </c>
      <c r="F27" s="7">
        <f t="shared" si="2"/>
        <v>-1.330583661696757E-2</v>
      </c>
      <c r="H27" s="25" t="s">
        <v>45</v>
      </c>
      <c r="I27" s="7">
        <f>I26*SQRT(10)</f>
        <v>4.6530727902999836E-2</v>
      </c>
      <c r="J27" s="7">
        <f>J26*SQRT(10)</f>
        <v>5.8218819321734172E-2</v>
      </c>
      <c r="K27" s="7">
        <f>K26*SQRT(10)</f>
        <v>4.5789463438048912E-2</v>
      </c>
    </row>
    <row r="28" spans="1:11" ht="16" thickBot="1" x14ac:dyDescent="0.25">
      <c r="A28" s="5">
        <v>44572</v>
      </c>
      <c r="B28" s="7">
        <v>3.5241746012118158E-2</v>
      </c>
      <c r="C28" s="7">
        <v>9.9115039763146839E-3</v>
      </c>
      <c r="D28" s="7">
        <f t="shared" si="0"/>
        <v>3.012934466737105E-2</v>
      </c>
      <c r="E28" s="7">
        <f t="shared" si="1"/>
        <v>2.5330242035803474E-2</v>
      </c>
      <c r="F28" s="7">
        <f t="shared" si="2"/>
        <v>2.796605915636086E-2</v>
      </c>
      <c r="H28" s="36" t="s">
        <v>46</v>
      </c>
      <c r="I28" s="37">
        <f>I26*SQRT(21)</f>
        <v>6.7429430831679987E-2</v>
      </c>
      <c r="J28" s="37">
        <f>J26*SQRT(21)</f>
        <v>8.4367084450958293E-2</v>
      </c>
      <c r="K28" s="37">
        <f>K26*SQRT(21)</f>
        <v>6.6355236568663351E-2</v>
      </c>
    </row>
    <row r="29" spans="1:11" ht="16" thickBot="1" x14ac:dyDescent="0.25">
      <c r="A29" s="5">
        <v>44573</v>
      </c>
      <c r="B29" s="7">
        <v>1.134734830387019E-2</v>
      </c>
      <c r="C29" s="7">
        <v>8.1396173662504623E-3</v>
      </c>
      <c r="D29" s="7">
        <f t="shared" si="0"/>
        <v>6.2349469591230812E-3</v>
      </c>
      <c r="E29" s="7">
        <f t="shared" si="1"/>
        <v>3.2077309376197273E-3</v>
      </c>
      <c r="F29" s="7">
        <f t="shared" si="2"/>
        <v>4.4030821596064392E-3</v>
      </c>
      <c r="H29" s="48" t="s">
        <v>47</v>
      </c>
      <c r="I29" s="44"/>
      <c r="J29" s="44"/>
      <c r="K29" s="45"/>
    </row>
    <row r="30" spans="1:11" x14ac:dyDescent="0.2">
      <c r="A30" s="5">
        <v>44574</v>
      </c>
      <c r="B30" s="7">
        <v>-2.3621117278848081E-3</v>
      </c>
      <c r="C30" s="7">
        <v>-1.1357508461284919E-4</v>
      </c>
      <c r="D30" s="7">
        <f t="shared" si="0"/>
        <v>-7.4745130726319164E-3</v>
      </c>
      <c r="E30" s="7">
        <f t="shared" si="1"/>
        <v>-2.2485366432719589E-3</v>
      </c>
      <c r="F30" s="7">
        <f t="shared" si="2"/>
        <v>-7.7626679650799751E-3</v>
      </c>
      <c r="H30" s="38" t="s">
        <v>48</v>
      </c>
      <c r="I30" s="39">
        <f>D60</f>
        <v>1.8018536284331813E-2</v>
      </c>
      <c r="J30" s="39">
        <f>E60</f>
        <v>5.9402018699183157E-2</v>
      </c>
      <c r="K30" s="39">
        <f>F60</f>
        <v>2.4493424970112206E-2</v>
      </c>
    </row>
    <row r="31" spans="1:11" x14ac:dyDescent="0.2">
      <c r="A31" s="5">
        <v>44575</v>
      </c>
      <c r="B31" s="7">
        <v>1.8823250858292839E-2</v>
      </c>
      <c r="C31" s="7">
        <v>-1.0127658640498921E-2</v>
      </c>
      <c r="D31" s="7">
        <f t="shared" si="0"/>
        <v>1.3710849513545731E-2</v>
      </c>
      <c r="E31" s="7">
        <f t="shared" si="1"/>
        <v>2.8950909498791762E-2</v>
      </c>
      <c r="F31" s="7">
        <f t="shared" si="2"/>
        <v>1.5295768596710209E-2</v>
      </c>
      <c r="H31" s="10" t="s">
        <v>49</v>
      </c>
      <c r="I31" s="11">
        <f>SUM(D50:D59)</f>
        <v>7.0320406255246614E-3</v>
      </c>
      <c r="J31" s="11">
        <f>SUM(E50:E59)</f>
        <v>0.11380037871857729</v>
      </c>
      <c r="K31" s="11">
        <f>SUM(F50:F59)</f>
        <v>1.4345991914490909E-2</v>
      </c>
    </row>
    <row r="32" spans="1:11" x14ac:dyDescent="0.2">
      <c r="A32" s="5">
        <v>44578</v>
      </c>
      <c r="B32" s="7">
        <v>4.8803160585637606E-3</v>
      </c>
      <c r="C32" s="7">
        <v>7.0105018089718918E-3</v>
      </c>
      <c r="D32" s="7">
        <f t="shared" si="0"/>
        <v>-2.3208528618334778E-4</v>
      </c>
      <c r="E32" s="7">
        <f t="shared" si="1"/>
        <v>-2.1301857504081312E-3</v>
      </c>
      <c r="F32" s="7">
        <f t="shared" si="2"/>
        <v>-1.8527558257365176E-3</v>
      </c>
      <c r="H32" s="12" t="s">
        <v>50</v>
      </c>
      <c r="I32" s="13">
        <f>SUM(D61:D70)</f>
        <v>6.516657953279506E-2</v>
      </c>
      <c r="J32" s="13">
        <f>SUM(E61:E70)</f>
        <v>0.15750785936847381</v>
      </c>
      <c r="K32" s="13">
        <f>SUM(F61:F70)</f>
        <v>6.9782036524632163E-2</v>
      </c>
    </row>
    <row r="33" spans="1:11" x14ac:dyDescent="0.2">
      <c r="A33" s="5">
        <v>44579</v>
      </c>
      <c r="B33" s="7">
        <v>1.1910268270120211E-2</v>
      </c>
      <c r="C33" s="7">
        <v>-1.0301922087968761E-2</v>
      </c>
      <c r="D33" s="7">
        <f t="shared" si="0"/>
        <v>6.7978669253731024E-3</v>
      </c>
      <c r="E33" s="7">
        <f t="shared" si="1"/>
        <v>2.2212190358088971E-2</v>
      </c>
      <c r="F33" s="7">
        <f t="shared" si="2"/>
        <v>8.4153809361247802E-3</v>
      </c>
      <c r="H33" s="8" t="s">
        <v>51</v>
      </c>
      <c r="I33" s="7">
        <f>SUM(D50:D70)</f>
        <v>9.0217156442651547E-2</v>
      </c>
      <c r="J33" s="7">
        <f>SUM(E50:E70)</f>
        <v>0.33071025678623422</v>
      </c>
      <c r="K33" s="7">
        <f>SUM(F50:F70)</f>
        <v>0.10862145340923532</v>
      </c>
    </row>
    <row r="34" spans="1:11" ht="16" thickBot="1" x14ac:dyDescent="0.25">
      <c r="A34" s="5">
        <v>44580</v>
      </c>
      <c r="B34" s="7">
        <v>1.062735687350003E-2</v>
      </c>
      <c r="C34" s="7">
        <v>2.4566471502629468E-3</v>
      </c>
      <c r="D34" s="7">
        <f t="shared" si="0"/>
        <v>5.5149555287529219E-3</v>
      </c>
      <c r="E34" s="7">
        <f t="shared" si="1"/>
        <v>8.170709723237083E-3</v>
      </c>
      <c r="F34" s="7">
        <f t="shared" si="2"/>
        <v>4.7460560576502494E-3</v>
      </c>
    </row>
    <row r="35" spans="1:11" ht="16" thickBot="1" x14ac:dyDescent="0.25">
      <c r="A35" s="5">
        <v>44581</v>
      </c>
      <c r="B35" s="7">
        <v>-6.7842605156043234E-4</v>
      </c>
      <c r="C35" s="7">
        <v>7.3402119125265397E-3</v>
      </c>
      <c r="D35" s="7">
        <f t="shared" si="0"/>
        <v>-5.7908273963075407E-3</v>
      </c>
      <c r="E35" s="7">
        <f t="shared" si="1"/>
        <v>-8.018637964086972E-3</v>
      </c>
      <c r="F35" s="7">
        <f t="shared" si="2"/>
        <v>-7.4731682236127764E-3</v>
      </c>
      <c r="H35" s="48" t="s">
        <v>52</v>
      </c>
      <c r="I35" s="44"/>
      <c r="J35" s="44"/>
      <c r="K35" s="45"/>
    </row>
    <row r="36" spans="1:11" x14ac:dyDescent="0.2">
      <c r="A36" s="5">
        <v>44582</v>
      </c>
      <c r="B36" s="7">
        <v>-5.5442407784566114E-3</v>
      </c>
      <c r="C36" s="7">
        <v>-1.6292130429257479E-2</v>
      </c>
      <c r="D36" s="7">
        <f t="shared" si="0"/>
        <v>-1.0656642123203719E-2</v>
      </c>
      <c r="E36" s="7">
        <f t="shared" si="1"/>
        <v>1.0747889650800868E-2</v>
      </c>
      <c r="F36" s="7">
        <f t="shared" si="2"/>
        <v>-7.9186957443827654E-3</v>
      </c>
      <c r="H36" s="31" t="s">
        <v>66</v>
      </c>
      <c r="I36" s="40">
        <f t="shared" ref="I36:K37" si="3">I30/I26</f>
        <v>1.2245588523708089</v>
      </c>
      <c r="J36" s="21">
        <f t="shared" si="3"/>
        <v>3.2265456237310697</v>
      </c>
      <c r="K36" s="21">
        <f t="shared" si="3"/>
        <v>1.6915465871048989</v>
      </c>
    </row>
    <row r="37" spans="1:11" x14ac:dyDescent="0.2">
      <c r="A37" s="5">
        <v>44585</v>
      </c>
      <c r="B37" s="7">
        <v>-1.8432131072932179E-2</v>
      </c>
      <c r="C37" s="7">
        <v>-4.1422736347223273E-2</v>
      </c>
      <c r="D37" s="7">
        <f t="shared" si="0"/>
        <v>-2.3544532417679287E-2</v>
      </c>
      <c r="E37" s="7">
        <f t="shared" si="1"/>
        <v>2.2990605274291094E-2</v>
      </c>
      <c r="F37" s="7">
        <f t="shared" si="2"/>
        <v>-1.6106057660637593E-2</v>
      </c>
      <c r="H37" s="31" t="s">
        <v>67</v>
      </c>
      <c r="I37" s="30">
        <f t="shared" si="3"/>
        <v>0.15112681323584679</v>
      </c>
      <c r="J37" s="7">
        <f t="shared" si="3"/>
        <v>1.954700903322742</v>
      </c>
      <c r="K37" s="7">
        <f t="shared" si="3"/>
        <v>0.31330334180264835</v>
      </c>
    </row>
    <row r="38" spans="1:11" x14ac:dyDescent="0.2">
      <c r="A38" s="5">
        <v>44586</v>
      </c>
      <c r="B38" s="7">
        <v>2.237162397125303E-2</v>
      </c>
      <c r="C38" s="7">
        <v>5.8948642228398018E-3</v>
      </c>
      <c r="D38" s="7">
        <f t="shared" si="0"/>
        <v>1.7259222626505921E-2</v>
      </c>
      <c r="E38" s="7">
        <f t="shared" si="1"/>
        <v>1.6476759748413228E-2</v>
      </c>
      <c r="F38" s="7">
        <f t="shared" si="2"/>
        <v>1.5847225373643168E-2</v>
      </c>
      <c r="H38" s="31" t="s">
        <v>68</v>
      </c>
      <c r="I38" s="30">
        <f t="shared" ref="I38:K39" si="4">I32/I27</f>
        <v>1.40050634214544</v>
      </c>
      <c r="J38" s="7">
        <f t="shared" si="4"/>
        <v>2.7054457854605305</v>
      </c>
      <c r="K38" s="7">
        <f t="shared" si="4"/>
        <v>1.5239758513231789</v>
      </c>
    </row>
    <row r="39" spans="1:11" x14ac:dyDescent="0.2">
      <c r="A39" s="5">
        <v>44587</v>
      </c>
      <c r="B39" s="7">
        <v>1.995464852607709E-2</v>
      </c>
      <c r="C39" s="7">
        <v>2.1170814926924519E-2</v>
      </c>
      <c r="D39" s="7">
        <f t="shared" si="0"/>
        <v>1.4842247181329982E-2</v>
      </c>
      <c r="E39" s="7">
        <f t="shared" si="1"/>
        <v>-1.2161664008474293E-3</v>
      </c>
      <c r="F39" s="7">
        <f t="shared" si="2"/>
        <v>1.0572975415339868E-2</v>
      </c>
      <c r="H39" s="31" t="s">
        <v>69</v>
      </c>
      <c r="I39" s="30">
        <f t="shared" si="4"/>
        <v>1.3379492504964958</v>
      </c>
      <c r="J39" s="7">
        <f t="shared" si="4"/>
        <v>3.9198967101734166</v>
      </c>
      <c r="K39" s="7">
        <f t="shared" si="4"/>
        <v>1.6369688215463682</v>
      </c>
    </row>
    <row r="40" spans="1:11" ht="16" thickBot="1" x14ac:dyDescent="0.25">
      <c r="A40" s="5">
        <v>44588</v>
      </c>
      <c r="B40" s="7">
        <v>-6.8919519786571071E-3</v>
      </c>
      <c r="C40" s="7">
        <v>4.8912540723811126E-3</v>
      </c>
      <c r="D40" s="7">
        <f t="shared" si="0"/>
        <v>-1.2004353323404215E-2</v>
      </c>
      <c r="E40" s="7">
        <f t="shared" si="1"/>
        <v>-1.178320605103822E-2</v>
      </c>
      <c r="F40" s="7">
        <f t="shared" si="2"/>
        <v>-1.3228631346245183E-2</v>
      </c>
    </row>
    <row r="41" spans="1:11" ht="16" thickBot="1" x14ac:dyDescent="0.25">
      <c r="A41" s="5">
        <v>44589</v>
      </c>
      <c r="B41" s="7">
        <v>7.7233042310274058E-3</v>
      </c>
      <c r="C41" s="7">
        <v>-1.1483966701431919E-2</v>
      </c>
      <c r="D41" s="7">
        <f t="shared" si="0"/>
        <v>2.6109028862802974E-3</v>
      </c>
      <c r="E41" s="7">
        <f t="shared" si="1"/>
        <v>1.9207270932459324E-2</v>
      </c>
      <c r="F41" s="7">
        <f t="shared" si="2"/>
        <v>4.4495112179585711E-3</v>
      </c>
      <c r="H41" s="48" t="s">
        <v>53</v>
      </c>
      <c r="I41" s="44"/>
      <c r="J41" s="44"/>
      <c r="K41" s="45"/>
    </row>
    <row r="42" spans="1:11" x14ac:dyDescent="0.2">
      <c r="A42" s="5">
        <v>44592</v>
      </c>
      <c r="B42" s="7">
        <v>1.310674219704544E-2</v>
      </c>
      <c r="C42" s="7">
        <v>9.1106502154292279E-3</v>
      </c>
      <c r="D42" s="7">
        <f t="shared" si="0"/>
        <v>7.9943408522983317E-3</v>
      </c>
      <c r="E42" s="7">
        <f t="shared" si="1"/>
        <v>3.9960919816162122E-3</v>
      </c>
      <c r="F42" s="7">
        <f t="shared" si="2"/>
        <v>5.980850210625362E-3</v>
      </c>
      <c r="H42" s="35" t="s">
        <v>70</v>
      </c>
      <c r="I42" s="21">
        <v>0.23262583181492311</v>
      </c>
      <c r="J42" s="21">
        <v>3.6013735230137666E-3</v>
      </c>
      <c r="K42" s="21">
        <v>0.10367880211026383</v>
      </c>
    </row>
    <row r="43" spans="1:11" x14ac:dyDescent="0.2">
      <c r="A43" s="5">
        <v>44593</v>
      </c>
      <c r="B43" s="7">
        <v>-2.2475605744984081E-2</v>
      </c>
      <c r="C43" s="7">
        <v>1.1941286947278361E-2</v>
      </c>
      <c r="D43" s="7">
        <f t="shared" si="0"/>
        <v>-2.7588007089731189E-2</v>
      </c>
      <c r="E43" s="7">
        <f t="shared" si="1"/>
        <v>-3.4416892692262439E-2</v>
      </c>
      <c r="F43" s="7">
        <f t="shared" si="2"/>
        <v>-3.0130951272234974E-2</v>
      </c>
      <c r="H43" s="25" t="s">
        <v>71</v>
      </c>
      <c r="I43" s="7">
        <v>0.88113878551780389</v>
      </c>
      <c r="J43" s="7">
        <v>6.2363088109421302E-2</v>
      </c>
      <c r="K43" s="7">
        <v>0.75675683682563433</v>
      </c>
    </row>
    <row r="44" spans="1:11" x14ac:dyDescent="0.2">
      <c r="A44" s="5">
        <v>44594</v>
      </c>
      <c r="B44" s="7">
        <v>3.4768954688200182E-3</v>
      </c>
      <c r="C44" s="7">
        <v>-5.6821373528403996E-4</v>
      </c>
      <c r="D44" s="7">
        <f t="shared" si="0"/>
        <v>-1.6355058759270902E-3</v>
      </c>
      <c r="E44" s="7">
        <f t="shared" si="1"/>
        <v>4.0451092041040582E-3</v>
      </c>
      <c r="F44" s="7">
        <f t="shared" si="2"/>
        <v>-1.8386233488122501E-3</v>
      </c>
      <c r="H44" s="25" t="s">
        <v>72</v>
      </c>
      <c r="I44" s="7">
        <v>0.17415838068910486</v>
      </c>
      <c r="J44" s="7">
        <v>1.2351444438421105E-2</v>
      </c>
      <c r="K44" s="7">
        <v>0.14058455329687916</v>
      </c>
    </row>
    <row r="45" spans="1:11" x14ac:dyDescent="0.2">
      <c r="A45" s="5">
        <v>44595</v>
      </c>
      <c r="B45" s="7">
        <v>1.833016653626918E-2</v>
      </c>
      <c r="C45" s="7">
        <v>-1.9192048626780141E-2</v>
      </c>
      <c r="D45" s="7">
        <f t="shared" si="0"/>
        <v>1.3217765191522072E-2</v>
      </c>
      <c r="E45" s="7">
        <f t="shared" si="1"/>
        <v>3.7522215163049322E-2</v>
      </c>
      <c r="F45" s="7">
        <f t="shared" si="2"/>
        <v>1.6498123791778133E-2</v>
      </c>
      <c r="H45" s="25" t="s">
        <v>73</v>
      </c>
      <c r="I45" s="7">
        <v>0.19345319600069991</v>
      </c>
      <c r="J45" s="7">
        <v>6.4496914040745184E-4</v>
      </c>
      <c r="K45" s="7">
        <v>0.11468429030703409</v>
      </c>
    </row>
    <row r="46" spans="1:11" x14ac:dyDescent="0.2">
      <c r="A46" s="5">
        <v>44596</v>
      </c>
      <c r="B46" s="7">
        <v>2.3707606190319419E-2</v>
      </c>
      <c r="C46" s="7">
        <v>-1.3146505244959529E-2</v>
      </c>
      <c r="D46" s="7">
        <f t="shared" si="0"/>
        <v>1.8595204845572311E-2</v>
      </c>
      <c r="E46" s="7">
        <f t="shared" si="1"/>
        <v>3.6854111435278947E-2</v>
      </c>
      <c r="F46" s="7">
        <f t="shared" si="2"/>
        <v>2.0744780991924346E-2</v>
      </c>
    </row>
    <row r="47" spans="1:11" x14ac:dyDescent="0.2">
      <c r="A47" s="5">
        <v>44599</v>
      </c>
      <c r="B47" s="7">
        <v>-6.2185054143882867E-3</v>
      </c>
      <c r="C47" s="7">
        <v>8.3150164242813407E-3</v>
      </c>
      <c r="D47" s="7">
        <f t="shared" si="0"/>
        <v>-1.1330906759135395E-2</v>
      </c>
      <c r="E47" s="7">
        <f t="shared" si="1"/>
        <v>-1.4533521838669627E-2</v>
      </c>
      <c r="F47" s="7">
        <f t="shared" si="2"/>
        <v>-1.3195578895350508E-2</v>
      </c>
      <c r="H47" s="19" t="s">
        <v>62</v>
      </c>
    </row>
    <row r="48" spans="1:11" x14ac:dyDescent="0.2">
      <c r="A48" s="5">
        <v>44600</v>
      </c>
      <c r="B48" s="7">
        <v>-2.060632214909908E-2</v>
      </c>
      <c r="C48" s="7">
        <v>2.1089223995476298E-3</v>
      </c>
      <c r="D48" s="7">
        <f t="shared" si="0"/>
        <v>-2.5718723493846189E-2</v>
      </c>
      <c r="E48" s="7">
        <f t="shared" si="1"/>
        <v>-2.271524454864671E-2</v>
      </c>
      <c r="F48" s="7">
        <f t="shared" si="2"/>
        <v>-2.6422583146017212E-2</v>
      </c>
      <c r="H48" s="19" t="s">
        <v>63</v>
      </c>
    </row>
    <row r="49" spans="1:7" x14ac:dyDescent="0.2">
      <c r="A49" s="5">
        <v>44601</v>
      </c>
      <c r="B49" s="7">
        <v>8.4820445031945635E-3</v>
      </c>
      <c r="C49" s="7">
        <v>1.812431888357446E-2</v>
      </c>
      <c r="D49" s="7">
        <f t="shared" si="0"/>
        <v>3.3696431584474551E-3</v>
      </c>
      <c r="E49" s="7">
        <f t="shared" si="1"/>
        <v>-9.642274380379897E-3</v>
      </c>
      <c r="F49" s="7">
        <f t="shared" si="2"/>
        <v>-3.2979988345022658E-4</v>
      </c>
    </row>
    <row r="50" spans="1:7" x14ac:dyDescent="0.2">
      <c r="A50" s="14">
        <v>44602</v>
      </c>
      <c r="B50" s="11">
        <v>-1.5292190060076649E-3</v>
      </c>
      <c r="C50" s="11">
        <v>-1.6698072096832379E-3</v>
      </c>
      <c r="D50" s="11">
        <f t="shared" si="0"/>
        <v>-6.6416203507547733E-3</v>
      </c>
      <c r="E50" s="11">
        <f t="shared" si="1"/>
        <v>1.4058820367557302E-4</v>
      </c>
      <c r="F50" s="11">
        <f t="shared" si="2"/>
        <v>-6.6386914034072073E-3</v>
      </c>
      <c r="G50" s="26" t="s">
        <v>54</v>
      </c>
    </row>
    <row r="51" spans="1:7" x14ac:dyDescent="0.2">
      <c r="A51" s="14">
        <v>44603</v>
      </c>
      <c r="B51" s="11">
        <v>3.3147358057105343E-2</v>
      </c>
      <c r="C51" s="11">
        <v>-9.9688224171462503E-3</v>
      </c>
      <c r="D51" s="11">
        <f t="shared" si="0"/>
        <v>2.8034956712358235E-2</v>
      </c>
      <c r="E51" s="11">
        <f t="shared" si="1"/>
        <v>4.3116180474251593E-2</v>
      </c>
      <c r="F51" s="11">
        <f t="shared" si="2"/>
        <v>2.9590166437228851E-2</v>
      </c>
    </row>
    <row r="52" spans="1:7" x14ac:dyDescent="0.2">
      <c r="A52" s="14">
        <v>44606</v>
      </c>
      <c r="B52" s="11">
        <v>2.1601016518424391E-2</v>
      </c>
      <c r="C52" s="11">
        <v>-2.184717325480845E-2</v>
      </c>
      <c r="D52" s="11">
        <f t="shared" si="0"/>
        <v>1.6488615173677282E-2</v>
      </c>
      <c r="E52" s="11">
        <f t="shared" si="1"/>
        <v>4.3448189773232837E-2</v>
      </c>
      <c r="F52" s="11">
        <f t="shared" si="2"/>
        <v>2.0265598833531989E-2</v>
      </c>
    </row>
    <row r="53" spans="1:7" x14ac:dyDescent="0.2">
      <c r="A53" s="14">
        <v>44607</v>
      </c>
      <c r="B53" s="11">
        <v>-3.3167495854063089E-2</v>
      </c>
      <c r="C53" s="11">
        <v>1.9500796102255521E-2</v>
      </c>
      <c r="D53" s="11">
        <f t="shared" si="0"/>
        <v>-3.8279897198810198E-2</v>
      </c>
      <c r="E53" s="11">
        <f t="shared" si="1"/>
        <v>-5.2668291956318614E-2</v>
      </c>
      <c r="F53" s="11">
        <f t="shared" si="2"/>
        <v>-4.2236802008621691E-2</v>
      </c>
    </row>
    <row r="54" spans="1:7" x14ac:dyDescent="0.2">
      <c r="A54" s="14">
        <v>44608</v>
      </c>
      <c r="B54" s="11">
        <v>1.6402229845626119E-2</v>
      </c>
      <c r="C54" s="11">
        <v>-1.5661680365972601E-3</v>
      </c>
      <c r="D54" s="11">
        <f t="shared" si="0"/>
        <v>1.128982850087901E-2</v>
      </c>
      <c r="E54" s="11">
        <f t="shared" si="1"/>
        <v>1.7968397882223378E-2</v>
      </c>
      <c r="F54" s="11">
        <f t="shared" si="2"/>
        <v>1.1273372365520007E-2</v>
      </c>
    </row>
    <row r="55" spans="1:7" x14ac:dyDescent="0.2">
      <c r="A55" s="14">
        <v>44609</v>
      </c>
      <c r="B55" s="11">
        <v>-1.940723552367896E-2</v>
      </c>
      <c r="C55" s="11">
        <v>-5.8083138410865987E-3</v>
      </c>
      <c r="D55" s="11">
        <f t="shared" si="0"/>
        <v>-2.4519636868426068E-2</v>
      </c>
      <c r="E55" s="11">
        <f t="shared" si="1"/>
        <v>-1.3598921682592361E-2</v>
      </c>
      <c r="F55" s="11">
        <f t="shared" si="2"/>
        <v>-2.3742625197889597E-2</v>
      </c>
    </row>
    <row r="56" spans="1:7" x14ac:dyDescent="0.2">
      <c r="A56" s="14">
        <v>44610</v>
      </c>
      <c r="B56" s="11">
        <v>6.1310100032270221E-3</v>
      </c>
      <c r="C56" s="11">
        <v>-9.4597897650386953E-3</v>
      </c>
      <c r="D56" s="11">
        <f t="shared" si="0"/>
        <v>1.0186086584799137E-3</v>
      </c>
      <c r="E56" s="11">
        <f t="shared" si="1"/>
        <v>1.5590799768265717E-2</v>
      </c>
      <c r="F56" s="11">
        <f t="shared" si="2"/>
        <v>2.4786068936441903E-3</v>
      </c>
    </row>
    <row r="57" spans="1:7" x14ac:dyDescent="0.2">
      <c r="A57" s="14">
        <v>44613</v>
      </c>
      <c r="B57" s="11">
        <v>1.9777635236262411E-2</v>
      </c>
      <c r="C57" s="11">
        <v>-2.173882691481566E-2</v>
      </c>
      <c r="D57" s="11">
        <f t="shared" si="0"/>
        <v>1.4665233891515302E-2</v>
      </c>
      <c r="E57" s="11">
        <f t="shared" si="1"/>
        <v>4.1516462151078071E-2</v>
      </c>
      <c r="F57" s="11">
        <f t="shared" si="2"/>
        <v>1.8421952021462972E-2</v>
      </c>
    </row>
    <row r="58" spans="1:7" x14ac:dyDescent="0.2">
      <c r="A58" s="14">
        <v>44614</v>
      </c>
      <c r="B58" s="11">
        <v>1.5200754796100171E-2</v>
      </c>
      <c r="C58" s="11">
        <v>-6.0212668941517222E-5</v>
      </c>
      <c r="D58" s="11">
        <f t="shared" si="0"/>
        <v>1.0088353451353062E-2</v>
      </c>
      <c r="E58" s="11">
        <f t="shared" si="1"/>
        <v>1.5260967465041688E-2</v>
      </c>
      <c r="F58" s="11">
        <f t="shared" si="2"/>
        <v>9.7902174406616829E-3</v>
      </c>
    </row>
    <row r="59" spans="1:7" x14ac:dyDescent="0.2">
      <c r="A59" s="14">
        <v>44615</v>
      </c>
      <c r="B59" s="11">
        <v>0</v>
      </c>
      <c r="C59" s="11">
        <v>-3.0260066397194141E-3</v>
      </c>
      <c r="D59" s="11">
        <f t="shared" si="0"/>
        <v>-5.1124013447471084E-3</v>
      </c>
      <c r="E59" s="11">
        <f t="shared" si="1"/>
        <v>3.0260066397194141E-3</v>
      </c>
      <c r="F59" s="11">
        <f t="shared" si="2"/>
        <v>-4.8558034676402934E-3</v>
      </c>
    </row>
    <row r="60" spans="1:7" x14ac:dyDescent="0.2">
      <c r="A60" s="15">
        <v>44616</v>
      </c>
      <c r="B60" s="9">
        <v>2.3130937629078922E-2</v>
      </c>
      <c r="C60" s="9">
        <v>-3.6271081070104239E-2</v>
      </c>
      <c r="D60" s="9">
        <f t="shared" si="0"/>
        <v>1.8018536284331813E-2</v>
      </c>
      <c r="E60" s="9">
        <f t="shared" si="1"/>
        <v>5.9402018699183157E-2</v>
      </c>
      <c r="F60" s="9">
        <f t="shared" si="2"/>
        <v>2.4493424970112206E-2</v>
      </c>
      <c r="G60" s="27" t="s">
        <v>55</v>
      </c>
    </row>
    <row r="61" spans="1:7" x14ac:dyDescent="0.2">
      <c r="A61" s="16">
        <v>44617</v>
      </c>
      <c r="B61" s="13">
        <v>-1.1606782398062119E-2</v>
      </c>
      <c r="C61" s="13">
        <v>3.692587944536263E-2</v>
      </c>
      <c r="D61" s="13">
        <f t="shared" si="0"/>
        <v>-1.6719183742809229E-2</v>
      </c>
      <c r="E61" s="13">
        <f t="shared" si="1"/>
        <v>-4.8532661843424751E-2</v>
      </c>
      <c r="F61" s="13">
        <f t="shared" si="2"/>
        <v>-2.3935345373347884E-2</v>
      </c>
      <c r="G61" s="28" t="s">
        <v>56</v>
      </c>
    </row>
    <row r="62" spans="1:7" x14ac:dyDescent="0.2">
      <c r="A62" s="16">
        <v>44620</v>
      </c>
      <c r="B62" s="13">
        <v>3.1246808945164739E-2</v>
      </c>
      <c r="C62" s="13">
        <v>-1.1700727486429139E-2</v>
      </c>
      <c r="D62" s="13">
        <f t="shared" si="0"/>
        <v>2.6134407600417631E-2</v>
      </c>
      <c r="E62" s="13">
        <f t="shared" si="1"/>
        <v>4.294753643159388E-2</v>
      </c>
      <c r="F62" s="13">
        <f t="shared" si="2"/>
        <v>2.8013559730541943E-2</v>
      </c>
    </row>
    <row r="63" spans="1:7" x14ac:dyDescent="0.2">
      <c r="A63" s="16">
        <v>44621</v>
      </c>
      <c r="B63" s="13">
        <v>3.9409842558669313E-2</v>
      </c>
      <c r="C63" s="13">
        <v>-4.035948035685244E-2</v>
      </c>
      <c r="D63" s="13">
        <f t="shared" si="0"/>
        <v>3.4297441213922204E-2</v>
      </c>
      <c r="E63" s="13">
        <f t="shared" si="1"/>
        <v>7.9769322915521745E-2</v>
      </c>
      <c r="F63" s="13">
        <f t="shared" si="2"/>
        <v>4.153704034606389E-2</v>
      </c>
    </row>
    <row r="64" spans="1:7" x14ac:dyDescent="0.2">
      <c r="A64" s="16">
        <v>44622</v>
      </c>
      <c r="B64" s="13">
        <v>7.5831189863770687E-2</v>
      </c>
      <c r="C64" s="13">
        <v>1.4535891980523409E-2</v>
      </c>
      <c r="D64" s="13">
        <f t="shared" si="0"/>
        <v>7.0718788519023579E-2</v>
      </c>
      <c r="E64" s="13">
        <f t="shared" si="1"/>
        <v>6.1295297883247279E-2</v>
      </c>
      <c r="F64" s="13">
        <f t="shared" si="2"/>
        <v>6.7690539102382014E-2</v>
      </c>
    </row>
    <row r="65" spans="1:6" x14ac:dyDescent="0.2">
      <c r="A65" s="16">
        <v>44623</v>
      </c>
      <c r="B65" s="13">
        <v>-2.1871956078987061E-2</v>
      </c>
      <c r="C65" s="13">
        <v>-2.0627718959837841E-2</v>
      </c>
      <c r="D65" s="13">
        <f t="shared" si="0"/>
        <v>-2.698435742373417E-2</v>
      </c>
      <c r="E65" s="13">
        <f t="shared" si="1"/>
        <v>-1.2442371191492205E-3</v>
      </c>
      <c r="F65" s="13">
        <f t="shared" si="2"/>
        <v>-2.3435465340268979E-2</v>
      </c>
    </row>
    <row r="66" spans="1:6" x14ac:dyDescent="0.2">
      <c r="A66" s="16">
        <v>44624</v>
      </c>
      <c r="B66" s="13">
        <v>6.9255839217816417E-2</v>
      </c>
      <c r="C66" s="13">
        <v>-4.9647498804508361E-2</v>
      </c>
      <c r="D66" s="13">
        <f t="shared" si="0"/>
        <v>6.4143437873069309E-2</v>
      </c>
      <c r="E66" s="13">
        <f t="shared" si="1"/>
        <v>0.11890333802232478</v>
      </c>
      <c r="F66" s="13">
        <f t="shared" si="2"/>
        <v>7.3120304878224476E-2</v>
      </c>
    </row>
    <row r="67" spans="1:6" x14ac:dyDescent="0.2">
      <c r="A67" s="16">
        <v>44627</v>
      </c>
      <c r="B67" s="13">
        <v>4.3180086360172558E-2</v>
      </c>
      <c r="C67" s="13">
        <v>-1.231437452151218E-2</v>
      </c>
      <c r="D67" s="13">
        <f t="shared" si="0"/>
        <v>3.806768501542545E-2</v>
      </c>
      <c r="E67" s="13">
        <f t="shared" si="1"/>
        <v>5.5494460881684735E-2</v>
      </c>
      <c r="F67" s="13">
        <f t="shared" si="2"/>
        <v>4.0061616125095047E-2</v>
      </c>
    </row>
    <row r="68" spans="1:6" x14ac:dyDescent="0.2">
      <c r="A68" s="16">
        <v>44628</v>
      </c>
      <c r="B68" s="13">
        <v>3.87143900657414E-2</v>
      </c>
      <c r="C68" s="13">
        <v>-1.9730915769600181E-3</v>
      </c>
      <c r="D68" s="13">
        <f t="shared" si="0"/>
        <v>3.3601988720994291E-2</v>
      </c>
      <c r="E68" s="13">
        <f t="shared" si="1"/>
        <v>4.0687481642701417E-2</v>
      </c>
      <c r="F68" s="13">
        <f t="shared" si="2"/>
        <v>3.3661645181387458E-2</v>
      </c>
    </row>
    <row r="69" spans="1:6" x14ac:dyDescent="0.2">
      <c r="A69" s="16">
        <v>44629</v>
      </c>
      <c r="B69" s="13">
        <v>-0.13158305985310201</v>
      </c>
      <c r="C69" s="13">
        <v>7.4381856440753458E-2</v>
      </c>
      <c r="D69" s="13">
        <f t="shared" si="0"/>
        <v>-0.13669546119784912</v>
      </c>
      <c r="E69" s="13">
        <f t="shared" si="1"/>
        <v>-0.20596491629385547</v>
      </c>
      <c r="F69" s="13">
        <f t="shared" si="2"/>
        <v>-0.15091753758331022</v>
      </c>
    </row>
    <row r="70" spans="1:6" x14ac:dyDescent="0.2">
      <c r="A70" s="16">
        <v>44630</v>
      </c>
      <c r="B70" s="13">
        <v>-1.6285765700917779E-2</v>
      </c>
      <c r="C70" s="13">
        <v>-3.0438002548747178E-2</v>
      </c>
      <c r="D70" s="13">
        <f t="shared" si="0"/>
        <v>-2.1398167045664888E-2</v>
      </c>
      <c r="E70" s="13">
        <f t="shared" si="1"/>
        <v>1.4152236847829399E-2</v>
      </c>
      <c r="F70" s="13">
        <f t="shared" si="2"/>
        <v>-1.601432054213555E-2</v>
      </c>
    </row>
  </sheetData>
  <mergeCells count="4">
    <mergeCell ref="H35:K35"/>
    <mergeCell ref="H29:K29"/>
    <mergeCell ref="A1:K1"/>
    <mergeCell ref="H41:K4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0"/>
  <sheetViews>
    <sheetView topLeftCell="A18" zoomScale="84" workbookViewId="0">
      <selection activeCell="K34" sqref="K34"/>
    </sheetView>
  </sheetViews>
  <sheetFormatPr baseColWidth="10" defaultColWidth="8.83203125" defaultRowHeight="15" x14ac:dyDescent="0.2"/>
  <cols>
    <col min="1" max="1" width="13" customWidth="1"/>
    <col min="2" max="6" width="14" customWidth="1"/>
    <col min="7" max="7" width="22" customWidth="1"/>
    <col min="8" max="8" width="28" customWidth="1"/>
    <col min="9" max="11" width="16" customWidth="1"/>
  </cols>
  <sheetData>
    <row r="1" spans="1:11" ht="22" customHeight="1" thickBot="1" x14ac:dyDescent="0.25">
      <c r="A1" s="49" t="s">
        <v>77</v>
      </c>
      <c r="B1" s="44"/>
      <c r="C1" s="44"/>
      <c r="D1" s="44"/>
      <c r="E1" s="44"/>
      <c r="F1" s="44"/>
      <c r="G1" s="44"/>
      <c r="H1" s="44"/>
      <c r="I1" s="44"/>
      <c r="J1" s="44"/>
      <c r="K1" s="45"/>
    </row>
    <row r="2" spans="1:11" x14ac:dyDescent="0.2">
      <c r="A2" s="41"/>
      <c r="B2" s="42"/>
      <c r="C2" s="42"/>
      <c r="D2" s="42"/>
      <c r="E2" s="42"/>
      <c r="F2" s="42"/>
      <c r="G2" s="42"/>
      <c r="H2" s="42"/>
      <c r="I2" s="42"/>
      <c r="J2" s="42"/>
      <c r="K2" s="42"/>
    </row>
    <row r="3" spans="1:11" x14ac:dyDescent="0.2">
      <c r="A3" s="1" t="s">
        <v>21</v>
      </c>
      <c r="B3" s="4">
        <f>AVERAGE(B25:B49)</f>
        <v>-6.1191649681879715E-3</v>
      </c>
      <c r="C3" s="19" t="s">
        <v>22</v>
      </c>
    </row>
    <row r="4" spans="1:11" x14ac:dyDescent="0.2">
      <c r="A4" s="1" t="s">
        <v>23</v>
      </c>
      <c r="B4" s="4">
        <v>-1.1408577485813687E-2</v>
      </c>
      <c r="C4" s="19" t="s">
        <v>24</v>
      </c>
    </row>
    <row r="5" spans="1:11" x14ac:dyDescent="0.2">
      <c r="A5" s="1" t="s">
        <v>25</v>
      </c>
      <c r="B5" s="4">
        <v>-3.1976656790840448</v>
      </c>
      <c r="C5" s="19" t="s">
        <v>26</v>
      </c>
    </row>
    <row r="8" spans="1:11" x14ac:dyDescent="0.2">
      <c r="A8" s="1" t="s">
        <v>27</v>
      </c>
      <c r="B8" s="5">
        <v>44616</v>
      </c>
    </row>
    <row r="9" spans="1:11" x14ac:dyDescent="0.2">
      <c r="A9" s="1" t="s">
        <v>28</v>
      </c>
      <c r="B9" s="6">
        <v>10</v>
      </c>
      <c r="C9" s="19" t="s">
        <v>29</v>
      </c>
    </row>
    <row r="10" spans="1:11" x14ac:dyDescent="0.2">
      <c r="A10" s="1" t="s">
        <v>30</v>
      </c>
      <c r="B10" s="6">
        <v>10</v>
      </c>
      <c r="C10" s="19" t="s">
        <v>31</v>
      </c>
    </row>
    <row r="11" spans="1:11" x14ac:dyDescent="0.2">
      <c r="A11" s="1" t="s">
        <v>32</v>
      </c>
      <c r="B11" s="6">
        <v>25</v>
      </c>
      <c r="C11" s="19" t="s">
        <v>33</v>
      </c>
    </row>
    <row r="23" spans="1:11" ht="16" thickBot="1" x14ac:dyDescent="0.25"/>
    <row r="24" spans="1:11" ht="36" customHeight="1" thickBot="1" x14ac:dyDescent="0.25">
      <c r="A24" s="22" t="s">
        <v>34</v>
      </c>
      <c r="B24" s="23" t="s">
        <v>60</v>
      </c>
      <c r="C24" s="23" t="s">
        <v>36</v>
      </c>
      <c r="D24" s="23" t="s">
        <v>37</v>
      </c>
      <c r="E24" s="23" t="s">
        <v>38</v>
      </c>
      <c r="F24" s="24" t="s">
        <v>39</v>
      </c>
    </row>
    <row r="25" spans="1:11" ht="17" thickBot="1" x14ac:dyDescent="0.25">
      <c r="A25" s="20">
        <v>44567</v>
      </c>
      <c r="B25" s="21">
        <v>5.4413146565852832E-2</v>
      </c>
      <c r="C25" s="21">
        <v>-1.5331863722152559E-2</v>
      </c>
      <c r="D25" s="21">
        <f t="shared" ref="D25:D70" si="0">B25-$B$3</f>
        <v>6.0532311534040803E-2</v>
      </c>
      <c r="E25" s="21">
        <f t="shared" ref="E25:E70" si="1">B25-C25</f>
        <v>6.9745010288005393E-2</v>
      </c>
      <c r="F25" s="21">
        <f t="shared" ref="F25:F70" si="2">B25-($B$4+$B$5*C25)</f>
        <v>1.6795549630945525E-2</v>
      </c>
      <c r="H25" s="22" t="s">
        <v>40</v>
      </c>
      <c r="I25" s="23" t="s">
        <v>41</v>
      </c>
      <c r="J25" s="23" t="s">
        <v>42</v>
      </c>
      <c r="K25" s="24" t="s">
        <v>43</v>
      </c>
    </row>
    <row r="26" spans="1:11" x14ac:dyDescent="0.2">
      <c r="A26" s="5">
        <v>44568</v>
      </c>
      <c r="B26" s="7">
        <v>-8.6298729560009058E-2</v>
      </c>
      <c r="C26" s="7">
        <v>-4.3886275262043917E-3</v>
      </c>
      <c r="D26" s="7">
        <f t="shared" si="0"/>
        <v>-8.0179564591821087E-2</v>
      </c>
      <c r="E26" s="7">
        <f t="shared" si="1"/>
        <v>-8.1910102033804666E-2</v>
      </c>
      <c r="F26" s="7">
        <f t="shared" si="2"/>
        <v>-8.8923515693022662E-2</v>
      </c>
      <c r="H26" s="35" t="s">
        <v>44</v>
      </c>
      <c r="I26" s="21">
        <f>STDEV($D$25:$D$49)</f>
        <v>6.7354196077359679E-2</v>
      </c>
      <c r="J26" s="21">
        <f>STDEV($E$25:$E$49)</f>
        <v>7.7350887542696214E-2</v>
      </c>
      <c r="K26" s="21">
        <f>STDEV($F$25:$F$49)</f>
        <v>5.0363700027366037E-2</v>
      </c>
    </row>
    <row r="27" spans="1:11" x14ac:dyDescent="0.2">
      <c r="A27" s="5">
        <v>44571</v>
      </c>
      <c r="B27" s="7">
        <v>-4.0454102116270207E-2</v>
      </c>
      <c r="C27" s="7">
        <v>-1.5400063957615621E-2</v>
      </c>
      <c r="D27" s="7">
        <f t="shared" si="0"/>
        <v>-3.4334937148082237E-2</v>
      </c>
      <c r="E27" s="7">
        <f t="shared" si="1"/>
        <v>-2.5054038158654587E-2</v>
      </c>
      <c r="F27" s="7">
        <f t="shared" si="2"/>
        <v>-7.828978060342319E-2</v>
      </c>
      <c r="H27" s="25" t="s">
        <v>45</v>
      </c>
      <c r="I27" s="7">
        <f>I26*SQRT(10)</f>
        <v>0.2129926695740352</v>
      </c>
      <c r="J27" s="7">
        <f>J26*SQRT(10)</f>
        <v>0.24460498367046485</v>
      </c>
      <c r="K27" s="7">
        <f>K26*SQRT(10)</f>
        <v>0.15926400347996122</v>
      </c>
    </row>
    <row r="28" spans="1:11" ht="16" thickBot="1" x14ac:dyDescent="0.25">
      <c r="A28" s="5">
        <v>44572</v>
      </c>
      <c r="B28" s="7">
        <v>-6.9391421513586238E-2</v>
      </c>
      <c r="C28" s="7">
        <v>9.9115039763146839E-3</v>
      </c>
      <c r="D28" s="7">
        <f t="shared" si="0"/>
        <v>-6.3272256545398267E-2</v>
      </c>
      <c r="E28" s="7">
        <f t="shared" si="1"/>
        <v>-7.9302925489900922E-2</v>
      </c>
      <c r="F28" s="7">
        <f t="shared" si="2"/>
        <v>-2.6289167934606048E-2</v>
      </c>
      <c r="H28" s="36" t="s">
        <v>46</v>
      </c>
      <c r="I28" s="37">
        <f>I26*SQRT(21)</f>
        <v>0.30865570189739844</v>
      </c>
      <c r="J28" s="37">
        <f>J26*SQRT(21)</f>
        <v>0.35446629723642215</v>
      </c>
      <c r="K28" s="37">
        <f>K26*SQRT(21)</f>
        <v>0.23079546765345438</v>
      </c>
    </row>
    <row r="29" spans="1:11" ht="16" thickBot="1" x14ac:dyDescent="0.25">
      <c r="A29" s="5">
        <v>44573</v>
      </c>
      <c r="B29" s="7">
        <v>-4.5506502743344779E-2</v>
      </c>
      <c r="C29" s="7">
        <v>8.1396173662504623E-3</v>
      </c>
      <c r="D29" s="7">
        <f t="shared" si="0"/>
        <v>-3.9387337775156808E-2</v>
      </c>
      <c r="E29" s="7">
        <f t="shared" si="1"/>
        <v>-5.3646120109595241E-2</v>
      </c>
      <c r="F29" s="7">
        <f t="shared" si="2"/>
        <v>-8.0701501645955229E-3</v>
      </c>
      <c r="H29" s="48" t="s">
        <v>47</v>
      </c>
      <c r="I29" s="44"/>
      <c r="J29" s="44"/>
      <c r="K29" s="45"/>
    </row>
    <row r="30" spans="1:11" x14ac:dyDescent="0.2">
      <c r="A30" s="5">
        <v>44574</v>
      </c>
      <c r="B30" s="7">
        <v>0.1371468870171515</v>
      </c>
      <c r="C30" s="7">
        <v>-1.1357508461284919E-4</v>
      </c>
      <c r="D30" s="7">
        <f t="shared" si="0"/>
        <v>0.14326605198533948</v>
      </c>
      <c r="E30" s="7">
        <f t="shared" si="1"/>
        <v>0.13726046210176435</v>
      </c>
      <c r="F30" s="7">
        <f t="shared" si="2"/>
        <v>0.1481922893528996</v>
      </c>
      <c r="H30" s="38" t="s">
        <v>48</v>
      </c>
      <c r="I30" s="39">
        <f>D60</f>
        <v>0.51713827826424708</v>
      </c>
      <c r="J30" s="39">
        <f>E60</f>
        <v>0.54729019436616333</v>
      </c>
      <c r="K30" s="39">
        <f>F60</f>
        <v>0.40644489970072545</v>
      </c>
    </row>
    <row r="31" spans="1:11" x14ac:dyDescent="0.2">
      <c r="A31" s="5">
        <v>44575</v>
      </c>
      <c r="B31" s="7">
        <v>1.7669084952024461E-2</v>
      </c>
      <c r="C31" s="7">
        <v>-1.0127658640498921E-2</v>
      </c>
      <c r="D31" s="7">
        <f t="shared" si="0"/>
        <v>2.3788249920212431E-2</v>
      </c>
      <c r="E31" s="7">
        <f t="shared" si="1"/>
        <v>2.7796743592523383E-2</v>
      </c>
      <c r="F31" s="7">
        <f t="shared" si="2"/>
        <v>-3.3072040063642262E-3</v>
      </c>
      <c r="H31" s="10" t="s">
        <v>49</v>
      </c>
      <c r="I31" s="11">
        <f>SUM(D50:D59)</f>
        <v>0.26240796522681609</v>
      </c>
      <c r="J31" s="11">
        <f>SUM(E50:E59)</f>
        <v>0.25686064019051791</v>
      </c>
      <c r="K31" s="11">
        <f>SUM(F50:F59)</f>
        <v>0.13737014324808661</v>
      </c>
    </row>
    <row r="32" spans="1:11" x14ac:dyDescent="0.2">
      <c r="A32" s="5">
        <v>44578</v>
      </c>
      <c r="B32" s="7">
        <v>-0.1144992526158445</v>
      </c>
      <c r="C32" s="7">
        <v>7.0105018089718918E-3</v>
      </c>
      <c r="D32" s="7">
        <f t="shared" si="0"/>
        <v>-0.10838008764765653</v>
      </c>
      <c r="E32" s="7">
        <f t="shared" si="1"/>
        <v>-0.12150975442481639</v>
      </c>
      <c r="F32" s="7">
        <f t="shared" si="2"/>
        <v>-8.0673434102324776E-2</v>
      </c>
      <c r="H32" s="12" t="s">
        <v>50</v>
      </c>
      <c r="I32" s="13">
        <f>SUM(D61:D70)</f>
        <v>0.23346004969914344</v>
      </c>
      <c r="J32" s="13">
        <f>SUM(E61:E70)</f>
        <v>0.21348566640547126</v>
      </c>
      <c r="K32" s="13">
        <f>SUM(F61:F70)</f>
        <v>0.15455513676016441</v>
      </c>
    </row>
    <row r="33" spans="1:11" x14ac:dyDescent="0.2">
      <c r="A33" s="5">
        <v>44579</v>
      </c>
      <c r="B33" s="7">
        <v>1.716615592375215E-2</v>
      </c>
      <c r="C33" s="7">
        <v>-1.0301922087968761E-2</v>
      </c>
      <c r="D33" s="7">
        <f t="shared" si="0"/>
        <v>2.3285320891940121E-2</v>
      </c>
      <c r="E33" s="7">
        <f t="shared" si="1"/>
        <v>2.7468078011720909E-2</v>
      </c>
      <c r="F33" s="7">
        <f t="shared" si="2"/>
        <v>-4.3673692797297076E-3</v>
      </c>
      <c r="H33" s="8" t="s">
        <v>51</v>
      </c>
      <c r="I33" s="7">
        <f>SUM(D50:D70)</f>
        <v>1.0130062931902064</v>
      </c>
      <c r="J33" s="7">
        <f>SUM(E50:E70)</f>
        <v>1.0176365009621526</v>
      </c>
      <c r="K33" s="7">
        <f>SUM(F50:F70)</f>
        <v>0.69837017970897619</v>
      </c>
    </row>
    <row r="34" spans="1:11" ht="16" thickBot="1" x14ac:dyDescent="0.25">
      <c r="A34" s="5">
        <v>44580</v>
      </c>
      <c r="B34" s="7">
        <v>-3.4876298925115568E-2</v>
      </c>
      <c r="C34" s="7">
        <v>2.4566471502629468E-3</v>
      </c>
      <c r="D34" s="7">
        <f t="shared" si="0"/>
        <v>-2.8757133956927597E-2</v>
      </c>
      <c r="E34" s="7">
        <f t="shared" si="1"/>
        <v>-3.7332946075378515E-2</v>
      </c>
      <c r="F34" s="7">
        <f t="shared" si="2"/>
        <v>-1.5612185161286429E-2</v>
      </c>
    </row>
    <row r="35" spans="1:11" ht="16" thickBot="1" x14ac:dyDescent="0.25">
      <c r="A35" s="5">
        <v>44581</v>
      </c>
      <c r="B35" s="7">
        <v>-5.2776381577207543E-3</v>
      </c>
      <c r="C35" s="7">
        <v>7.3402119125265397E-3</v>
      </c>
      <c r="D35" s="7">
        <f t="shared" si="0"/>
        <v>8.415268104672172E-4</v>
      </c>
      <c r="E35" s="7">
        <f t="shared" si="1"/>
        <v>-1.2617850070247294E-2</v>
      </c>
      <c r="F35" s="7">
        <f t="shared" si="2"/>
        <v>2.9602483037982907E-2</v>
      </c>
      <c r="H35" s="48" t="s">
        <v>52</v>
      </c>
      <c r="I35" s="44"/>
      <c r="J35" s="44"/>
      <c r="K35" s="45"/>
    </row>
    <row r="36" spans="1:11" x14ac:dyDescent="0.2">
      <c r="A36" s="5">
        <v>44582</v>
      </c>
      <c r="B36" s="7">
        <v>5.0224060210363852E-2</v>
      </c>
      <c r="C36" s="7">
        <v>-1.6292130429257479E-2</v>
      </c>
      <c r="D36" s="7">
        <f t="shared" si="0"/>
        <v>5.6343225178551823E-2</v>
      </c>
      <c r="E36" s="7">
        <f t="shared" si="1"/>
        <v>6.6516190639621331E-2</v>
      </c>
      <c r="F36" s="7">
        <f t="shared" si="2"/>
        <v>9.5358513833800895E-3</v>
      </c>
      <c r="H36" s="35" t="s">
        <v>66</v>
      </c>
      <c r="I36" s="21">
        <f t="shared" ref="I36:K37" si="3">I30/I26</f>
        <v>7.677892520167382</v>
      </c>
      <c r="J36" s="21">
        <f t="shared" si="3"/>
        <v>7.0754222964031221</v>
      </c>
      <c r="K36" s="21">
        <f t="shared" si="3"/>
        <v>8.070195388342718</v>
      </c>
    </row>
    <row r="37" spans="1:11" x14ac:dyDescent="0.2">
      <c r="A37" s="5">
        <v>44585</v>
      </c>
      <c r="B37" s="7">
        <v>0.1775132945049378</v>
      </c>
      <c r="C37" s="7">
        <v>-4.1422736347223273E-2</v>
      </c>
      <c r="D37" s="7">
        <f t="shared" si="0"/>
        <v>0.18363245947312579</v>
      </c>
      <c r="E37" s="7">
        <f t="shared" si="1"/>
        <v>0.21893603085216107</v>
      </c>
      <c r="F37" s="7">
        <f t="shared" si="2"/>
        <v>5.6465809639488426E-2</v>
      </c>
      <c r="H37" s="25" t="s">
        <v>67</v>
      </c>
      <c r="I37" s="7">
        <f t="shared" si="3"/>
        <v>1.232004677680254</v>
      </c>
      <c r="J37" s="7">
        <f t="shared" si="3"/>
        <v>1.0501038708866375</v>
      </c>
      <c r="K37" s="7">
        <f t="shared" si="3"/>
        <v>0.86253101922915476</v>
      </c>
    </row>
    <row r="38" spans="1:11" x14ac:dyDescent="0.2">
      <c r="A38" s="5">
        <v>44586</v>
      </c>
      <c r="B38" s="7">
        <v>6.2580645161289814E-3</v>
      </c>
      <c r="C38" s="7">
        <v>5.8948642228398018E-3</v>
      </c>
      <c r="D38" s="7">
        <f t="shared" si="0"/>
        <v>1.2377229484316953E-2</v>
      </c>
      <c r="E38" s="7">
        <f t="shared" si="1"/>
        <v>3.6320029328917956E-4</v>
      </c>
      <c r="F38" s="7">
        <f t="shared" si="2"/>
        <v>3.6516447010177942E-2</v>
      </c>
      <c r="H38" s="25" t="s">
        <v>68</v>
      </c>
      <c r="I38" s="7">
        <f t="shared" ref="I38:K39" si="4">I32/I27</f>
        <v>1.0960942936019396</v>
      </c>
      <c r="J38" s="7">
        <f t="shared" si="4"/>
        <v>0.87277725581046228</v>
      </c>
      <c r="K38" s="7">
        <f t="shared" si="4"/>
        <v>0.97043357810360908</v>
      </c>
    </row>
    <row r="39" spans="1:11" x14ac:dyDescent="0.2">
      <c r="A39" s="5">
        <v>44587</v>
      </c>
      <c r="B39" s="7">
        <v>-1.8646748306298089E-2</v>
      </c>
      <c r="C39" s="7">
        <v>2.1170814926924519E-2</v>
      </c>
      <c r="D39" s="7">
        <f t="shared" si="0"/>
        <v>-1.2527583338110118E-2</v>
      </c>
      <c r="E39" s="7">
        <f t="shared" si="1"/>
        <v>-3.9817563233222608E-2</v>
      </c>
      <c r="F39" s="7">
        <f t="shared" si="2"/>
        <v>6.0459017469582321E-2</v>
      </c>
      <c r="H39" s="25" t="s">
        <v>69</v>
      </c>
      <c r="I39" s="7">
        <f t="shared" si="4"/>
        <v>3.2819944260318383</v>
      </c>
      <c r="J39" s="7">
        <f t="shared" si="4"/>
        <v>2.8708977662928805</v>
      </c>
      <c r="K39" s="7">
        <f t="shared" si="4"/>
        <v>3.0259267515495489</v>
      </c>
    </row>
    <row r="40" spans="1:11" ht="16" thickBot="1" x14ac:dyDescent="0.25">
      <c r="A40" s="5">
        <v>44588</v>
      </c>
      <c r="B40" s="7">
        <v>5.0524298485359331E-3</v>
      </c>
      <c r="C40" s="7">
        <v>4.8912540723811126E-3</v>
      </c>
      <c r="D40" s="7">
        <f t="shared" si="0"/>
        <v>1.1171594816723904E-2</v>
      </c>
      <c r="E40" s="7">
        <f t="shared" si="1"/>
        <v>1.6117577615482048E-4</v>
      </c>
      <c r="F40" s="7">
        <f t="shared" si="2"/>
        <v>3.210160260928277E-2</v>
      </c>
    </row>
    <row r="41" spans="1:11" ht="16" thickBot="1" x14ac:dyDescent="0.25">
      <c r="A41" s="5">
        <v>44589</v>
      </c>
      <c r="B41" s="7">
        <v>-2.5893543948602988E-3</v>
      </c>
      <c r="C41" s="7">
        <v>-1.1483966701431919E-2</v>
      </c>
      <c r="D41" s="7">
        <f t="shared" si="0"/>
        <v>3.5298105733276726E-3</v>
      </c>
      <c r="E41" s="7">
        <f t="shared" si="1"/>
        <v>8.8946123065716202E-3</v>
      </c>
      <c r="F41" s="7">
        <f t="shared" si="2"/>
        <v>-2.7902663089959468E-2</v>
      </c>
      <c r="H41" s="48" t="s">
        <v>53</v>
      </c>
      <c r="I41" s="44"/>
      <c r="J41" s="44"/>
      <c r="K41" s="45"/>
    </row>
    <row r="42" spans="1:11" x14ac:dyDescent="0.2">
      <c r="A42" s="5">
        <v>44592</v>
      </c>
      <c r="B42" s="7">
        <v>-8.0271990615020328E-2</v>
      </c>
      <c r="C42" s="7">
        <v>9.1106502154292279E-3</v>
      </c>
      <c r="D42" s="7">
        <f t="shared" si="0"/>
        <v>-7.4152825646832357E-2</v>
      </c>
      <c r="E42" s="7">
        <f t="shared" si="1"/>
        <v>-8.9382640830449556E-2</v>
      </c>
      <c r="F42" s="7">
        <f t="shared" si="2"/>
        <v>-3.9730599621188939E-2</v>
      </c>
      <c r="H42" s="35" t="s">
        <v>70</v>
      </c>
      <c r="I42" s="21">
        <v>6.4810057988647318E-8</v>
      </c>
      <c r="J42" s="21">
        <v>2.5827340662130064E-7</v>
      </c>
      <c r="K42" s="21">
        <v>2.7028993081975559E-8</v>
      </c>
    </row>
    <row r="43" spans="1:11" x14ac:dyDescent="0.2">
      <c r="A43" s="5">
        <v>44593</v>
      </c>
      <c r="B43" s="7">
        <v>-0.10044642857142851</v>
      </c>
      <c r="C43" s="7">
        <v>1.1941286947278361E-2</v>
      </c>
      <c r="D43" s="7">
        <f t="shared" si="0"/>
        <v>-9.4327263603240535E-2</v>
      </c>
      <c r="E43" s="7">
        <f t="shared" si="1"/>
        <v>-0.11238771551870687</v>
      </c>
      <c r="F43" s="7">
        <f t="shared" si="2"/>
        <v>-5.0853607650208521E-2</v>
      </c>
      <c r="H43" s="25" t="s">
        <v>71</v>
      </c>
      <c r="I43" s="7">
        <v>0.22988190560726923</v>
      </c>
      <c r="J43" s="7">
        <v>0.30412999700749599</v>
      </c>
      <c r="K43" s="7">
        <v>0.39693257450424202</v>
      </c>
    </row>
    <row r="44" spans="1:11" x14ac:dyDescent="0.2">
      <c r="A44" s="5">
        <v>44594</v>
      </c>
      <c r="B44" s="7">
        <v>1.5544789738338061E-2</v>
      </c>
      <c r="C44" s="7">
        <v>-5.6821373528403996E-4</v>
      </c>
      <c r="D44" s="7">
        <f t="shared" si="0"/>
        <v>2.1663954706526031E-2</v>
      </c>
      <c r="E44" s="7">
        <f t="shared" si="1"/>
        <v>1.6113003473622101E-2</v>
      </c>
      <c r="F44" s="7">
        <f t="shared" si="2"/>
        <v>2.5136409664449827E-2</v>
      </c>
      <c r="H44" s="25" t="s">
        <v>72</v>
      </c>
      <c r="I44" s="7">
        <v>0.28391485727863519</v>
      </c>
      <c r="J44" s="7">
        <v>0.39143320797282566</v>
      </c>
      <c r="K44" s="7">
        <v>0.34150964476546253</v>
      </c>
    </row>
    <row r="45" spans="1:11" x14ac:dyDescent="0.2">
      <c r="A45" s="5">
        <v>44595</v>
      </c>
      <c r="B45" s="7">
        <v>3.7129448875903297E-2</v>
      </c>
      <c r="C45" s="7">
        <v>-1.9192048626780141E-2</v>
      </c>
      <c r="D45" s="7">
        <f t="shared" si="0"/>
        <v>4.3248613844091267E-2</v>
      </c>
      <c r="E45" s="7">
        <f t="shared" si="1"/>
        <v>5.6321497502683435E-2</v>
      </c>
      <c r="F45" s="7">
        <f t="shared" si="2"/>
        <v>-1.2831728843449942E-2</v>
      </c>
      <c r="H45" s="25" t="s">
        <v>73</v>
      </c>
      <c r="I45" s="7">
        <v>3.1471000712902674E-3</v>
      </c>
      <c r="J45" s="7">
        <v>8.4156798104815349E-3</v>
      </c>
      <c r="K45" s="7">
        <v>5.834515247257214E-3</v>
      </c>
    </row>
    <row r="46" spans="1:11" x14ac:dyDescent="0.2">
      <c r="A46" s="5">
        <v>44596</v>
      </c>
      <c r="B46" s="7">
        <v>3.027809979681639E-2</v>
      </c>
      <c r="C46" s="7">
        <v>-1.3146505244959529E-2</v>
      </c>
      <c r="D46" s="7">
        <f t="shared" si="0"/>
        <v>3.6397264765004364E-2</v>
      </c>
      <c r="E46" s="7">
        <f t="shared" si="1"/>
        <v>4.3424605041775921E-2</v>
      </c>
      <c r="F46" s="7">
        <f t="shared" si="2"/>
        <v>-3.5145133907539539E-4</v>
      </c>
    </row>
    <row r="47" spans="1:11" x14ac:dyDescent="0.2">
      <c r="A47" s="5">
        <v>44599</v>
      </c>
      <c r="B47" s="7">
        <v>-3.6986400813047493E-2</v>
      </c>
      <c r="C47" s="7">
        <v>8.3150164242813407E-3</v>
      </c>
      <c r="D47" s="7">
        <f t="shared" si="0"/>
        <v>-3.0867235844859522E-2</v>
      </c>
      <c r="E47" s="7">
        <f t="shared" si="1"/>
        <v>-4.5301417237328834E-2</v>
      </c>
      <c r="F47" s="7">
        <f t="shared" si="2"/>
        <v>1.0108193137107757E-3</v>
      </c>
      <c r="H47" s="19" t="s">
        <v>62</v>
      </c>
    </row>
    <row r="48" spans="1:11" x14ac:dyDescent="0.2">
      <c r="A48" s="5">
        <v>44600</v>
      </c>
      <c r="B48" s="7">
        <v>-2.883346943903509E-2</v>
      </c>
      <c r="C48" s="7">
        <v>2.1089223995476298E-3</v>
      </c>
      <c r="D48" s="7">
        <f t="shared" si="0"/>
        <v>-2.2714304470847119E-2</v>
      </c>
      <c r="E48" s="7">
        <f t="shared" si="1"/>
        <v>-3.094239183858272E-2</v>
      </c>
      <c r="F48" s="7">
        <f t="shared" si="2"/>
        <v>-1.0681263176336376E-2</v>
      </c>
      <c r="H48" s="19" t="s">
        <v>63</v>
      </c>
    </row>
    <row r="49" spans="1:7" x14ac:dyDescent="0.2">
      <c r="A49" s="5">
        <v>44601</v>
      </c>
      <c r="B49" s="7">
        <v>-3.7296248382923669E-2</v>
      </c>
      <c r="C49" s="7">
        <v>1.812431888357446E-2</v>
      </c>
      <c r="D49" s="7">
        <f t="shared" si="0"/>
        <v>-3.1177083414735698E-2</v>
      </c>
      <c r="E49" s="7">
        <f t="shared" si="1"/>
        <v>-5.5420567266498133E-2</v>
      </c>
      <c r="F49" s="7">
        <f t="shared" si="2"/>
        <v>3.2067841553670928E-2</v>
      </c>
    </row>
    <row r="50" spans="1:7" x14ac:dyDescent="0.2">
      <c r="A50" s="14">
        <v>44602</v>
      </c>
      <c r="B50" s="11">
        <v>-8.6001854414996526E-4</v>
      </c>
      <c r="C50" s="11">
        <v>-1.6698072096832379E-3</v>
      </c>
      <c r="D50" s="11">
        <f t="shared" si="0"/>
        <v>5.2591464240380062E-3</v>
      </c>
      <c r="E50" s="11">
        <f t="shared" si="1"/>
        <v>8.0978866553327268E-4</v>
      </c>
      <c r="F50" s="11">
        <f t="shared" si="2"/>
        <v>5.2090737365725372E-3</v>
      </c>
      <c r="G50" s="26" t="s">
        <v>54</v>
      </c>
    </row>
    <row r="51" spans="1:7" x14ac:dyDescent="0.2">
      <c r="A51" s="14">
        <v>44603</v>
      </c>
      <c r="B51" s="11">
        <v>4.1329872365607478E-2</v>
      </c>
      <c r="C51" s="11">
        <v>-9.9688224171462503E-3</v>
      </c>
      <c r="D51" s="11">
        <f t="shared" si="0"/>
        <v>4.7449037333795449E-2</v>
      </c>
      <c r="E51" s="11">
        <f t="shared" si="1"/>
        <v>5.1298694782753729E-2</v>
      </c>
      <c r="F51" s="11">
        <f t="shared" si="2"/>
        <v>2.0861488547228951E-2</v>
      </c>
    </row>
    <row r="52" spans="1:7" x14ac:dyDescent="0.2">
      <c r="A52" s="14">
        <v>44606</v>
      </c>
      <c r="B52" s="11">
        <v>4.3202541781830472E-2</v>
      </c>
      <c r="C52" s="11">
        <v>-2.184717325480845E-2</v>
      </c>
      <c r="D52" s="11">
        <f t="shared" si="0"/>
        <v>4.9321706750018443E-2</v>
      </c>
      <c r="E52" s="11">
        <f t="shared" si="1"/>
        <v>6.5049715036638922E-2</v>
      </c>
      <c r="F52" s="11">
        <f t="shared" si="2"/>
        <v>-1.5248836834259691E-2</v>
      </c>
    </row>
    <row r="53" spans="1:7" x14ac:dyDescent="0.2">
      <c r="A53" s="14">
        <v>44607</v>
      </c>
      <c r="B53" s="11">
        <v>-0.1219744710353964</v>
      </c>
      <c r="C53" s="11">
        <v>1.9500796102255521E-2</v>
      </c>
      <c r="D53" s="11">
        <f t="shared" si="0"/>
        <v>-0.11585530606720842</v>
      </c>
      <c r="E53" s="11">
        <f t="shared" si="1"/>
        <v>-0.14147526713765191</v>
      </c>
      <c r="F53" s="11">
        <f t="shared" si="2"/>
        <v>-4.8208867138584313E-2</v>
      </c>
    </row>
    <row r="54" spans="1:7" x14ac:dyDescent="0.2">
      <c r="A54" s="14">
        <v>44608</v>
      </c>
      <c r="B54" s="11">
        <v>-1.5849067245730989E-2</v>
      </c>
      <c r="C54" s="11">
        <v>-1.5661680365972601E-3</v>
      </c>
      <c r="D54" s="11">
        <f t="shared" si="0"/>
        <v>-9.7299022775430184E-3</v>
      </c>
      <c r="E54" s="11">
        <f t="shared" si="1"/>
        <v>-1.4282899209133729E-2</v>
      </c>
      <c r="F54" s="11">
        <f t="shared" si="2"/>
        <v>-9.4485715382228042E-3</v>
      </c>
    </row>
    <row r="55" spans="1:7" x14ac:dyDescent="0.2">
      <c r="A55" s="14">
        <v>44609</v>
      </c>
      <c r="B55" s="11">
        <v>7.3343362705064807E-2</v>
      </c>
      <c r="C55" s="11">
        <v>-5.8083138410865987E-3</v>
      </c>
      <c r="D55" s="11">
        <f t="shared" si="0"/>
        <v>7.9462527673252778E-2</v>
      </c>
      <c r="E55" s="11">
        <f t="shared" si="1"/>
        <v>7.9151676546151406E-2</v>
      </c>
      <c r="F55" s="11">
        <f t="shared" si="2"/>
        <v>6.6178894367887056E-2</v>
      </c>
    </row>
    <row r="56" spans="1:7" x14ac:dyDescent="0.2">
      <c r="A56" s="14">
        <v>44610</v>
      </c>
      <c r="B56" s="11">
        <v>-1.5377633019195369E-2</v>
      </c>
      <c r="C56" s="11">
        <v>-9.4597897650386953E-3</v>
      </c>
      <c r="D56" s="11">
        <f t="shared" si="0"/>
        <v>-9.2584680510073986E-3</v>
      </c>
      <c r="E56" s="11">
        <f t="shared" si="1"/>
        <v>-5.9178432541566739E-3</v>
      </c>
      <c r="F56" s="11">
        <f t="shared" si="2"/>
        <v>-3.4218300596396439E-2</v>
      </c>
    </row>
    <row r="57" spans="1:7" x14ac:dyDescent="0.2">
      <c r="A57" s="14">
        <v>44613</v>
      </c>
      <c r="B57" s="11">
        <v>-1.6241425124047689E-2</v>
      </c>
      <c r="C57" s="11">
        <v>-2.173882691481566E-2</v>
      </c>
      <c r="D57" s="11">
        <f t="shared" si="0"/>
        <v>-1.0122260155859718E-2</v>
      </c>
      <c r="E57" s="11">
        <f t="shared" si="1"/>
        <v>5.4974017907679709E-3</v>
      </c>
      <c r="F57" s="11">
        <f t="shared" si="2"/>
        <v>-7.4346348367288539E-2</v>
      </c>
    </row>
    <row r="58" spans="1:7" x14ac:dyDescent="0.2">
      <c r="A58" s="14">
        <v>44614</v>
      </c>
      <c r="B58" s="11">
        <v>9.9567278540323212E-2</v>
      </c>
      <c r="C58" s="11">
        <v>-6.0212668941517222E-5</v>
      </c>
      <c r="D58" s="11">
        <f t="shared" si="0"/>
        <v>0.10568644350851118</v>
      </c>
      <c r="E58" s="11">
        <f t="shared" si="1"/>
        <v>9.9627491209264729E-2</v>
      </c>
      <c r="F58" s="11">
        <f t="shared" si="2"/>
        <v>0.11078331604121656</v>
      </c>
    </row>
    <row r="59" spans="1:7" x14ac:dyDescent="0.2">
      <c r="A59" s="14">
        <v>44615</v>
      </c>
      <c r="B59" s="11">
        <v>0.1140758751206308</v>
      </c>
      <c r="C59" s="11">
        <v>-3.0260066397194141E-3</v>
      </c>
      <c r="D59" s="11">
        <f t="shared" si="0"/>
        <v>0.12019504008881877</v>
      </c>
      <c r="E59" s="11">
        <f t="shared" si="1"/>
        <v>0.11710188176035022</v>
      </c>
      <c r="F59" s="11">
        <f t="shared" si="2"/>
        <v>0.11580829502993328</v>
      </c>
    </row>
    <row r="60" spans="1:7" x14ac:dyDescent="0.2">
      <c r="A60" s="15">
        <v>44616</v>
      </c>
      <c r="B60" s="9">
        <v>0.51101911329605909</v>
      </c>
      <c r="C60" s="9">
        <v>-3.6271081070104239E-2</v>
      </c>
      <c r="D60" s="9">
        <f t="shared" si="0"/>
        <v>0.51713827826424708</v>
      </c>
      <c r="E60" s="9">
        <f t="shared" si="1"/>
        <v>0.54729019436616333</v>
      </c>
      <c r="F60" s="9">
        <f t="shared" si="2"/>
        <v>0.40644489970072545</v>
      </c>
      <c r="G60" s="27" t="s">
        <v>55</v>
      </c>
    </row>
    <row r="61" spans="1:7" x14ac:dyDescent="0.2">
      <c r="A61" s="16">
        <v>44617</v>
      </c>
      <c r="B61" s="13">
        <v>-0.29701599213794339</v>
      </c>
      <c r="C61" s="13">
        <v>3.692587944536263E-2</v>
      </c>
      <c r="D61" s="13">
        <f t="shared" si="0"/>
        <v>-0.2908968271697554</v>
      </c>
      <c r="E61" s="13">
        <f t="shared" si="1"/>
        <v>-0.33394187158330602</v>
      </c>
      <c r="F61" s="13">
        <f t="shared" si="2"/>
        <v>-0.16753079727969863</v>
      </c>
      <c r="G61" s="28" t="s">
        <v>56</v>
      </c>
    </row>
    <row r="62" spans="1:7" x14ac:dyDescent="0.2">
      <c r="A62" s="16">
        <v>44620</v>
      </c>
      <c r="B62" s="13">
        <v>4.4195208743724963E-2</v>
      </c>
      <c r="C62" s="13">
        <v>-1.1700727486429139E-2</v>
      </c>
      <c r="D62" s="13">
        <f t="shared" si="0"/>
        <v>5.0314373711912934E-2</v>
      </c>
      <c r="E62" s="13">
        <f t="shared" si="1"/>
        <v>5.5895936230154104E-2</v>
      </c>
      <c r="F62" s="13">
        <f t="shared" si="2"/>
        <v>1.8188771525868872E-2</v>
      </c>
    </row>
    <row r="63" spans="1:7" x14ac:dyDescent="0.2">
      <c r="A63" s="16">
        <v>44621</v>
      </c>
      <c r="B63" s="13">
        <v>0.23407880724174659</v>
      </c>
      <c r="C63" s="13">
        <v>-4.035948035685244E-2</v>
      </c>
      <c r="D63" s="13">
        <f t="shared" si="0"/>
        <v>0.24019797220993458</v>
      </c>
      <c r="E63" s="13">
        <f t="shared" si="1"/>
        <v>0.27443828759859901</v>
      </c>
      <c r="F63" s="13">
        <f t="shared" si="2"/>
        <v>0.11643125956478655</v>
      </c>
    </row>
    <row r="64" spans="1:7" x14ac:dyDescent="0.2">
      <c r="A64" s="16">
        <v>44622</v>
      </c>
      <c r="B64" s="13">
        <v>0.36054539178460471</v>
      </c>
      <c r="C64" s="13">
        <v>1.4535891980523409E-2</v>
      </c>
      <c r="D64" s="13">
        <f t="shared" si="0"/>
        <v>0.36666455675279269</v>
      </c>
      <c r="E64" s="13">
        <f t="shared" si="1"/>
        <v>0.3460094998040813</v>
      </c>
      <c r="F64" s="13">
        <f t="shared" si="2"/>
        <v>0.41843489217141111</v>
      </c>
    </row>
    <row r="65" spans="1:6" x14ac:dyDescent="0.2">
      <c r="A65" s="16">
        <v>44623</v>
      </c>
      <c r="B65" s="13">
        <v>-2.851222945095833E-2</v>
      </c>
      <c r="C65" s="13">
        <v>-2.0627718959837841E-2</v>
      </c>
      <c r="D65" s="13">
        <f t="shared" si="0"/>
        <v>-2.2393064482770359E-2</v>
      </c>
      <c r="E65" s="13">
        <f t="shared" si="1"/>
        <v>-7.8845104911204889E-3</v>
      </c>
      <c r="F65" s="13">
        <f t="shared" si="2"/>
        <v>-8.3064200920809336E-2</v>
      </c>
    </row>
    <row r="66" spans="1:6" x14ac:dyDescent="0.2">
      <c r="A66" s="16">
        <v>44624</v>
      </c>
      <c r="B66" s="13">
        <v>0.19727899616348399</v>
      </c>
      <c r="C66" s="13">
        <v>-4.9647498804508361E-2</v>
      </c>
      <c r="D66" s="13">
        <f t="shared" si="0"/>
        <v>0.20339816113167197</v>
      </c>
      <c r="E66" s="13">
        <f t="shared" si="1"/>
        <v>0.24692649496799235</v>
      </c>
      <c r="F66" s="13">
        <f t="shared" si="2"/>
        <v>4.9931470669755146E-2</v>
      </c>
    </row>
    <row r="67" spans="1:6" x14ac:dyDescent="0.2">
      <c r="A67" s="16">
        <v>44627</v>
      </c>
      <c r="B67" s="13">
        <v>0.17995845235003879</v>
      </c>
      <c r="C67" s="13">
        <v>-1.231437452151218E-2</v>
      </c>
      <c r="D67" s="13">
        <f t="shared" si="0"/>
        <v>0.18607761731822678</v>
      </c>
      <c r="E67" s="13">
        <f t="shared" si="1"/>
        <v>0.19227282687155098</v>
      </c>
      <c r="F67" s="13">
        <f t="shared" si="2"/>
        <v>0.15198977706902597</v>
      </c>
    </row>
    <row r="68" spans="1:6" x14ac:dyDescent="0.2">
      <c r="A68" s="16">
        <v>44628</v>
      </c>
      <c r="B68" s="13">
        <v>-5.5664367674438053E-2</v>
      </c>
      <c r="C68" s="13">
        <v>-1.9730915769600181E-3</v>
      </c>
      <c r="D68" s="13">
        <f t="shared" si="0"/>
        <v>-4.9545202706250083E-2</v>
      </c>
      <c r="E68" s="13">
        <f t="shared" si="1"/>
        <v>-5.3691276097478036E-2</v>
      </c>
      <c r="F68" s="13">
        <f t="shared" si="2"/>
        <v>-5.0565077405959231E-2</v>
      </c>
    </row>
    <row r="69" spans="1:6" x14ac:dyDescent="0.2">
      <c r="A69" s="16">
        <v>44629</v>
      </c>
      <c r="B69" s="13">
        <v>-0.27346961604071712</v>
      </c>
      <c r="C69" s="13">
        <v>7.4381856440753458E-2</v>
      </c>
      <c r="D69" s="13">
        <f t="shared" si="0"/>
        <v>-0.26735045107252914</v>
      </c>
      <c r="E69" s="13">
        <f t="shared" si="1"/>
        <v>-0.34785147248147058</v>
      </c>
      <c r="F69" s="13">
        <f t="shared" si="2"/>
        <v>-2.42127290677496E-2</v>
      </c>
    </row>
    <row r="70" spans="1:6" x14ac:dyDescent="0.2">
      <c r="A70" s="16">
        <v>44630</v>
      </c>
      <c r="B70" s="13">
        <v>-0.18912625096227861</v>
      </c>
      <c r="C70" s="13">
        <v>-3.0438002548747178E-2</v>
      </c>
      <c r="D70" s="13">
        <f t="shared" si="0"/>
        <v>-0.18300708599409063</v>
      </c>
      <c r="E70" s="13">
        <f t="shared" si="1"/>
        <v>-0.15868824841353144</v>
      </c>
      <c r="F70" s="13">
        <f t="shared" si="2"/>
        <v>-0.27504822956646646</v>
      </c>
    </row>
  </sheetData>
  <mergeCells count="5">
    <mergeCell ref="H35:K35"/>
    <mergeCell ref="A2:K2"/>
    <mergeCell ref="H29:K29"/>
    <mergeCell ref="A1:K1"/>
    <mergeCell ref="H41:K41"/>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70"/>
  <sheetViews>
    <sheetView topLeftCell="A12" zoomScale="75" workbookViewId="0">
      <selection activeCell="G34" sqref="G34"/>
    </sheetView>
  </sheetViews>
  <sheetFormatPr baseColWidth="10" defaultColWidth="8.83203125" defaultRowHeight="15" x14ac:dyDescent="0.2"/>
  <cols>
    <col min="1" max="1" width="13" customWidth="1"/>
    <col min="2" max="6" width="14" customWidth="1"/>
    <col min="7" max="7" width="22" customWidth="1"/>
    <col min="8" max="8" width="28" customWidth="1"/>
    <col min="9" max="11" width="16" customWidth="1"/>
  </cols>
  <sheetData>
    <row r="1" spans="1:11" ht="22" customHeight="1" thickBot="1" x14ac:dyDescent="0.25">
      <c r="A1" s="49" t="s">
        <v>78</v>
      </c>
      <c r="B1" s="44"/>
      <c r="C1" s="44"/>
      <c r="D1" s="44"/>
      <c r="E1" s="44"/>
      <c r="F1" s="44"/>
      <c r="G1" s="44"/>
      <c r="H1" s="44"/>
      <c r="I1" s="44"/>
      <c r="J1" s="44"/>
      <c r="K1" s="45"/>
    </row>
    <row r="2" spans="1:11" x14ac:dyDescent="0.2">
      <c r="A2" s="41"/>
      <c r="B2" s="42"/>
      <c r="C2" s="42"/>
      <c r="D2" s="42"/>
      <c r="E2" s="42"/>
      <c r="F2" s="42"/>
      <c r="G2" s="42"/>
      <c r="H2" s="42"/>
      <c r="I2" s="42"/>
      <c r="J2" s="42"/>
      <c r="K2" s="42"/>
    </row>
    <row r="3" spans="1:11" x14ac:dyDescent="0.2">
      <c r="A3" s="1" t="s">
        <v>21</v>
      </c>
      <c r="B3" s="4">
        <f>AVERAGE(B25:B49)</f>
        <v>1.2893232351458957E-2</v>
      </c>
      <c r="C3" s="19" t="s">
        <v>22</v>
      </c>
    </row>
    <row r="4" spans="1:11" x14ac:dyDescent="0.2">
      <c r="A4" s="1" t="s">
        <v>23</v>
      </c>
      <c r="B4" s="4">
        <v>1.256963993428642E-2</v>
      </c>
      <c r="C4" s="19" t="s">
        <v>24</v>
      </c>
    </row>
    <row r="5" spans="1:11" x14ac:dyDescent="0.2">
      <c r="A5" s="1" t="s">
        <v>25</v>
      </c>
      <c r="B5" s="4">
        <v>-0.19562481900521908</v>
      </c>
      <c r="C5" s="19" t="s">
        <v>26</v>
      </c>
    </row>
    <row r="8" spans="1:11" x14ac:dyDescent="0.2">
      <c r="A8" s="1" t="s">
        <v>27</v>
      </c>
      <c r="B8" s="5">
        <v>44616</v>
      </c>
    </row>
    <row r="9" spans="1:11" x14ac:dyDescent="0.2">
      <c r="A9" s="1" t="s">
        <v>28</v>
      </c>
      <c r="B9" s="6">
        <v>10</v>
      </c>
      <c r="C9" s="19" t="s">
        <v>29</v>
      </c>
    </row>
    <row r="10" spans="1:11" x14ac:dyDescent="0.2">
      <c r="A10" s="1" t="s">
        <v>30</v>
      </c>
      <c r="B10" s="6">
        <v>10</v>
      </c>
      <c r="C10" s="19" t="s">
        <v>31</v>
      </c>
    </row>
    <row r="11" spans="1:11" x14ac:dyDescent="0.2">
      <c r="A11" s="1" t="s">
        <v>32</v>
      </c>
      <c r="B11" s="6">
        <v>25</v>
      </c>
      <c r="C11" s="19" t="s">
        <v>33</v>
      </c>
    </row>
    <row r="23" spans="1:11" ht="16" thickBot="1" x14ac:dyDescent="0.25"/>
    <row r="24" spans="1:11" ht="36" customHeight="1" thickBot="1" x14ac:dyDescent="0.25">
      <c r="A24" s="22" t="s">
        <v>34</v>
      </c>
      <c r="B24" s="23" t="s">
        <v>61</v>
      </c>
      <c r="C24" s="23" t="s">
        <v>36</v>
      </c>
      <c r="D24" s="23" t="s">
        <v>37</v>
      </c>
      <c r="E24" s="23" t="s">
        <v>38</v>
      </c>
      <c r="F24" s="24" t="s">
        <v>39</v>
      </c>
    </row>
    <row r="25" spans="1:11" ht="17" thickBot="1" x14ac:dyDescent="0.25">
      <c r="A25" s="20">
        <v>44567</v>
      </c>
      <c r="B25" s="21">
        <v>4.5156591405680853E-2</v>
      </c>
      <c r="C25" s="21">
        <v>-1.5331863722152559E-2</v>
      </c>
      <c r="D25" s="21">
        <f t="shared" ref="D25:D70" si="0">B25-$B$3</f>
        <v>3.2263359054221896E-2</v>
      </c>
      <c r="E25" s="21">
        <f t="shared" ref="E25:E70" si="1">B25-C25</f>
        <v>6.0488455127833414E-2</v>
      </c>
      <c r="F25" s="21">
        <f t="shared" ref="F25:F70" si="2">B25-($B$4+$B$5*C25)</f>
        <v>2.9587658405735656E-2</v>
      </c>
      <c r="H25" s="22" t="s">
        <v>40</v>
      </c>
      <c r="I25" s="23" t="s">
        <v>41</v>
      </c>
      <c r="J25" s="23" t="s">
        <v>42</v>
      </c>
      <c r="K25" s="24" t="s">
        <v>43</v>
      </c>
    </row>
    <row r="26" spans="1:11" x14ac:dyDescent="0.2">
      <c r="A26" s="5">
        <v>44568</v>
      </c>
      <c r="B26" s="7">
        <v>-2.2996515679442608E-2</v>
      </c>
      <c r="C26" s="7">
        <v>-4.3886275262043917E-3</v>
      </c>
      <c r="D26" s="7">
        <f t="shared" si="0"/>
        <v>-3.5889748030901565E-2</v>
      </c>
      <c r="E26" s="7">
        <f t="shared" si="1"/>
        <v>-1.8607888153238217E-2</v>
      </c>
      <c r="F26" s="7">
        <f t="shared" si="2"/>
        <v>-3.6424680079224087E-2</v>
      </c>
      <c r="H26" s="35" t="s">
        <v>44</v>
      </c>
      <c r="I26" s="21">
        <f>STDEV($D$25:$D$49)</f>
        <v>2.5180840409162408E-2</v>
      </c>
      <c r="J26" s="21">
        <f>STDEV($E$25:$E$49)</f>
        <v>3.0103349773812682E-2</v>
      </c>
      <c r="K26" s="21">
        <f>STDEV($F$25:$F$49)</f>
        <v>2.5031761013622686E-2</v>
      </c>
    </row>
    <row r="27" spans="1:11" x14ac:dyDescent="0.2">
      <c r="A27" s="5">
        <v>44571</v>
      </c>
      <c r="B27" s="7">
        <v>-1.176890156918675E-2</v>
      </c>
      <c r="C27" s="7">
        <v>-1.5400063957615621E-2</v>
      </c>
      <c r="D27" s="7">
        <f t="shared" si="0"/>
        <v>-2.4662133920645708E-2</v>
      </c>
      <c r="E27" s="7">
        <f t="shared" si="1"/>
        <v>3.6311623884288709E-3</v>
      </c>
      <c r="F27" s="7">
        <f t="shared" si="2"/>
        <v>-2.7351176227850521E-2</v>
      </c>
      <c r="H27" s="25" t="s">
        <v>45</v>
      </c>
      <c r="I27" s="7">
        <f>I26*SQRT(10)</f>
        <v>7.9628809090159486E-2</v>
      </c>
      <c r="J27" s="7">
        <f>J26*SQRT(10)</f>
        <v>9.5195150485962679E-2</v>
      </c>
      <c r="K27" s="7">
        <f>K26*SQRT(10)</f>
        <v>7.9157378648052806E-2</v>
      </c>
    </row>
    <row r="28" spans="1:11" ht="16" thickBot="1" x14ac:dyDescent="0.25">
      <c r="A28" s="5">
        <v>44572</v>
      </c>
      <c r="B28" s="7">
        <v>-1.8404907975460238E-2</v>
      </c>
      <c r="C28" s="7">
        <v>9.9115039763146839E-3</v>
      </c>
      <c r="D28" s="7">
        <f t="shared" si="0"/>
        <v>-3.1298140326919195E-2</v>
      </c>
      <c r="E28" s="7">
        <f t="shared" si="1"/>
        <v>-2.8316411951774922E-2</v>
      </c>
      <c r="F28" s="7">
        <f t="shared" si="2"/>
        <v>-2.9035611738310589E-2</v>
      </c>
      <c r="H28" s="36" t="s">
        <v>46</v>
      </c>
      <c r="I28" s="37">
        <f>I26*SQRT(21)</f>
        <v>0.11539310723758951</v>
      </c>
      <c r="J28" s="37">
        <f>J26*SQRT(21)</f>
        <v>0.13795087901022837</v>
      </c>
      <c r="K28" s="37">
        <f>K26*SQRT(21)</f>
        <v>0.11470993962297048</v>
      </c>
    </row>
    <row r="29" spans="1:11" ht="16" thickBot="1" x14ac:dyDescent="0.25">
      <c r="A29" s="5">
        <v>44573</v>
      </c>
      <c r="B29" s="7">
        <v>2.205882352941169E-2</v>
      </c>
      <c r="C29" s="7">
        <v>8.1396173662504623E-3</v>
      </c>
      <c r="D29" s="7">
        <f t="shared" si="0"/>
        <v>9.1655911779527331E-3</v>
      </c>
      <c r="E29" s="7">
        <f t="shared" si="1"/>
        <v>1.3919206163161228E-2</v>
      </c>
      <c r="F29" s="7">
        <f t="shared" si="2"/>
        <v>1.1081494769169755E-2</v>
      </c>
      <c r="H29" s="48" t="s">
        <v>47</v>
      </c>
      <c r="I29" s="44"/>
      <c r="J29" s="44"/>
      <c r="K29" s="45"/>
    </row>
    <row r="30" spans="1:11" x14ac:dyDescent="0.2">
      <c r="A30" s="5">
        <v>44574</v>
      </c>
      <c r="B30" s="7">
        <v>7.1223021582733859E-2</v>
      </c>
      <c r="C30" s="7">
        <v>-1.1357508461284919E-4</v>
      </c>
      <c r="D30" s="7">
        <f t="shared" si="0"/>
        <v>5.8329789231274902E-2</v>
      </c>
      <c r="E30" s="7">
        <f t="shared" si="1"/>
        <v>7.1336596667346708E-2</v>
      </c>
      <c r="F30" s="7">
        <f t="shared" si="2"/>
        <v>5.8631163543076549E-2</v>
      </c>
      <c r="H30" s="38" t="s">
        <v>48</v>
      </c>
      <c r="I30" s="39">
        <f>D60</f>
        <v>-4.2458682432086961E-5</v>
      </c>
      <c r="J30" s="39">
        <f>E60</f>
        <v>4.912185473913111E-2</v>
      </c>
      <c r="K30" s="39">
        <f>F60</f>
        <v>-6.8143899347223192E-3</v>
      </c>
    </row>
    <row r="31" spans="1:11" x14ac:dyDescent="0.2">
      <c r="A31" s="5">
        <v>44575</v>
      </c>
      <c r="B31" s="7">
        <v>3.4251175285426427E-2</v>
      </c>
      <c r="C31" s="7">
        <v>-1.0127658640498921E-2</v>
      </c>
      <c r="D31" s="7">
        <f t="shared" si="0"/>
        <v>2.1357942933967471E-2</v>
      </c>
      <c r="E31" s="7">
        <f t="shared" si="1"/>
        <v>4.437883392592535E-2</v>
      </c>
      <c r="F31" s="7">
        <f t="shared" si="2"/>
        <v>1.9700313962645762E-2</v>
      </c>
      <c r="H31" s="10" t="s">
        <v>49</v>
      </c>
      <c r="I31" s="11">
        <f>SUM(D50:D59)</f>
        <v>-0.11295537255094276</v>
      </c>
      <c r="J31" s="11">
        <f>SUM(E50:E59)</f>
        <v>7.1621275609228374E-2</v>
      </c>
      <c r="K31" s="11">
        <f>SUM(F50:F59)</f>
        <v>-0.12060485931667693</v>
      </c>
    </row>
    <row r="32" spans="1:11" x14ac:dyDescent="0.2">
      <c r="A32" s="5">
        <v>44578</v>
      </c>
      <c r="B32" s="7">
        <v>1.298701298701288E-2</v>
      </c>
      <c r="C32" s="7">
        <v>7.0105018089718918E-3</v>
      </c>
      <c r="D32" s="7">
        <f t="shared" si="0"/>
        <v>9.378063555392363E-5</v>
      </c>
      <c r="E32" s="7">
        <f t="shared" si="1"/>
        <v>5.9765111780409885E-3</v>
      </c>
      <c r="F32" s="7">
        <f t="shared" si="2"/>
        <v>1.7888012002423483E-3</v>
      </c>
      <c r="H32" s="12" t="s">
        <v>50</v>
      </c>
      <c r="I32" s="13">
        <f>SUM(D61:D70)</f>
        <v>0.6925256431485618</v>
      </c>
      <c r="J32" s="13">
        <f>SUM(E61:E70)</f>
        <v>0.8626752330513594</v>
      </c>
      <c r="K32" s="13">
        <f>SUM(F61:F70)</f>
        <v>0.68769844704320438</v>
      </c>
    </row>
    <row r="33" spans="1:11" x14ac:dyDescent="0.2">
      <c r="A33" s="5">
        <v>44579</v>
      </c>
      <c r="B33" s="7">
        <v>4.0384615384615463E-2</v>
      </c>
      <c r="C33" s="7">
        <v>-1.0301922087968761E-2</v>
      </c>
      <c r="D33" s="7">
        <f t="shared" si="0"/>
        <v>2.7491383033156506E-2</v>
      </c>
      <c r="E33" s="7">
        <f t="shared" si="1"/>
        <v>5.0686537472584225E-2</v>
      </c>
      <c r="F33" s="7">
        <f t="shared" si="2"/>
        <v>2.5799663806464285E-2</v>
      </c>
      <c r="H33" s="8" t="s">
        <v>51</v>
      </c>
      <c r="I33" s="7">
        <f>SUM(D50:D70)</f>
        <v>0.57952781191518699</v>
      </c>
      <c r="J33" s="7">
        <f>SUM(E50:E70)</f>
        <v>0.98341836339971855</v>
      </c>
      <c r="K33" s="7">
        <f>SUM(F50:F70)</f>
        <v>0.56027919779180513</v>
      </c>
    </row>
    <row r="34" spans="1:11" ht="16" thickBot="1" x14ac:dyDescent="0.25">
      <c r="A34" s="5">
        <v>44580</v>
      </c>
      <c r="B34" s="7">
        <v>-3.3887861983981078E-3</v>
      </c>
      <c r="C34" s="7">
        <v>2.4566471502629468E-3</v>
      </c>
      <c r="D34" s="7">
        <f t="shared" si="0"/>
        <v>-1.6282018549857065E-2</v>
      </c>
      <c r="E34" s="7">
        <f t="shared" si="1"/>
        <v>-5.8454333486610546E-3</v>
      </c>
      <c r="F34" s="7">
        <f t="shared" si="2"/>
        <v>-1.5477844978554652E-2</v>
      </c>
    </row>
    <row r="35" spans="1:11" ht="16" thickBot="1" x14ac:dyDescent="0.25">
      <c r="A35" s="5">
        <v>44581</v>
      </c>
      <c r="B35" s="7">
        <v>-1.391035548686248E-2</v>
      </c>
      <c r="C35" s="7">
        <v>7.3402119125265397E-3</v>
      </c>
      <c r="D35" s="7">
        <f t="shared" si="0"/>
        <v>-2.6803587838321437E-2</v>
      </c>
      <c r="E35" s="7">
        <f t="shared" si="1"/>
        <v>-2.125056739938902E-2</v>
      </c>
      <c r="F35" s="7">
        <f t="shared" si="2"/>
        <v>-2.5044067794300941E-2</v>
      </c>
      <c r="H35" s="48" t="s">
        <v>52</v>
      </c>
      <c r="I35" s="44"/>
      <c r="J35" s="44"/>
      <c r="K35" s="45"/>
    </row>
    <row r="36" spans="1:11" x14ac:dyDescent="0.2">
      <c r="A36" s="5">
        <v>44582</v>
      </c>
      <c r="B36" s="7">
        <v>1.598746081504698E-2</v>
      </c>
      <c r="C36" s="7">
        <v>-1.6292130429257479E-2</v>
      </c>
      <c r="D36" s="7">
        <f t="shared" si="0"/>
        <v>3.0942284635880231E-3</v>
      </c>
      <c r="E36" s="7">
        <f t="shared" si="1"/>
        <v>3.2279591244304462E-2</v>
      </c>
      <c r="F36" s="7">
        <f t="shared" si="2"/>
        <v>2.3067581432764314E-4</v>
      </c>
      <c r="H36" s="35" t="s">
        <v>66</v>
      </c>
      <c r="I36" s="21">
        <f>I30/I26</f>
        <v>-1.6861503326409139E-3</v>
      </c>
      <c r="J36" s="21">
        <f t="shared" ref="I36:K37" si="3">J30/J26</f>
        <v>1.6317737098435101</v>
      </c>
      <c r="K36" s="21">
        <f t="shared" si="3"/>
        <v>-0.27222974568244795</v>
      </c>
    </row>
    <row r="37" spans="1:11" x14ac:dyDescent="0.2">
      <c r="A37" s="5">
        <v>44585</v>
      </c>
      <c r="B37" s="7">
        <v>7.4051218759640944E-3</v>
      </c>
      <c r="C37" s="7">
        <v>-4.1422736347223273E-2</v>
      </c>
      <c r="D37" s="7">
        <f t="shared" si="0"/>
        <v>-5.4881104754948623E-3</v>
      </c>
      <c r="E37" s="7">
        <f t="shared" si="1"/>
        <v>4.8827858223187366E-2</v>
      </c>
      <c r="F37" s="7">
        <f t="shared" si="2"/>
        <v>-1.3267833358948787E-2</v>
      </c>
      <c r="H37" s="25" t="s">
        <v>67</v>
      </c>
      <c r="I37" s="7">
        <f t="shared" si="3"/>
        <v>-1.4185239468174058</v>
      </c>
      <c r="J37" s="7">
        <f t="shared" si="3"/>
        <v>0.75236264918547013</v>
      </c>
      <c r="K37" s="7">
        <f t="shared" si="3"/>
        <v>-1.523608555216396</v>
      </c>
    </row>
    <row r="38" spans="1:11" x14ac:dyDescent="0.2">
      <c r="A38" s="5">
        <v>44586</v>
      </c>
      <c r="B38" s="7">
        <v>8.2695252679938491E-3</v>
      </c>
      <c r="C38" s="7">
        <v>5.8948642228398018E-3</v>
      </c>
      <c r="D38" s="7">
        <f t="shared" si="0"/>
        <v>-4.6237070834651076E-3</v>
      </c>
      <c r="E38" s="7">
        <f t="shared" si="1"/>
        <v>2.3746610451540473E-3</v>
      </c>
      <c r="F38" s="7">
        <f t="shared" si="2"/>
        <v>-3.1469329196391928E-3</v>
      </c>
      <c r="H38" s="25" t="s">
        <v>68</v>
      </c>
      <c r="I38" s="7">
        <f t="shared" ref="I38:K39" si="4">I32/I27</f>
        <v>8.6969232751484657</v>
      </c>
      <c r="J38" s="7">
        <f t="shared" si="4"/>
        <v>9.0621762626297659</v>
      </c>
      <c r="K38" s="7">
        <f t="shared" si="4"/>
        <v>8.6877364913867208</v>
      </c>
    </row>
    <row r="39" spans="1:11" x14ac:dyDescent="0.2">
      <c r="A39" s="5">
        <v>44587</v>
      </c>
      <c r="B39" s="7">
        <v>8.2017010935602208E-3</v>
      </c>
      <c r="C39" s="7">
        <v>2.1170814926924519E-2</v>
      </c>
      <c r="D39" s="7">
        <f t="shared" si="0"/>
        <v>-4.6915312578987359E-3</v>
      </c>
      <c r="E39" s="7">
        <f t="shared" si="1"/>
        <v>-1.2969113833364299E-2</v>
      </c>
      <c r="F39" s="7">
        <f t="shared" si="2"/>
        <v>-2.2640200245360037E-4</v>
      </c>
      <c r="H39" s="25" t="s">
        <v>69</v>
      </c>
      <c r="I39" s="7">
        <f t="shared" si="4"/>
        <v>5.02220475545358</v>
      </c>
      <c r="J39" s="7">
        <f t="shared" si="4"/>
        <v>7.1287575001736885</v>
      </c>
      <c r="K39" s="7">
        <f t="shared" si="4"/>
        <v>4.8843125507112566</v>
      </c>
    </row>
    <row r="40" spans="1:11" ht="16" thickBot="1" x14ac:dyDescent="0.25">
      <c r="A40" s="5">
        <v>44588</v>
      </c>
      <c r="B40" s="7">
        <v>0</v>
      </c>
      <c r="C40" s="7">
        <v>4.8912540723811126E-3</v>
      </c>
      <c r="D40" s="7">
        <f t="shared" si="0"/>
        <v>-1.2893232351458957E-2</v>
      </c>
      <c r="E40" s="7">
        <f t="shared" si="1"/>
        <v>-4.8912540723811126E-3</v>
      </c>
      <c r="F40" s="7">
        <f t="shared" si="2"/>
        <v>-1.1612789241668324E-2</v>
      </c>
    </row>
    <row r="41" spans="1:11" ht="16" thickBot="1" x14ac:dyDescent="0.25">
      <c r="A41" s="5">
        <v>44589</v>
      </c>
      <c r="B41" s="7">
        <v>3.3142512805062201E-3</v>
      </c>
      <c r="C41" s="7">
        <v>-1.1483966701431919E-2</v>
      </c>
      <c r="D41" s="7">
        <f t="shared" si="0"/>
        <v>-9.578981070952737E-3</v>
      </c>
      <c r="E41" s="7">
        <f t="shared" si="1"/>
        <v>1.4798217981938139E-2</v>
      </c>
      <c r="F41" s="7">
        <f t="shared" si="2"/>
        <v>-1.1501937561209782E-2</v>
      </c>
      <c r="H41" s="48" t="s">
        <v>53</v>
      </c>
      <c r="I41" s="44"/>
      <c r="J41" s="44"/>
      <c r="K41" s="45"/>
    </row>
    <row r="42" spans="1:11" x14ac:dyDescent="0.2">
      <c r="A42" s="5">
        <v>44592</v>
      </c>
      <c r="B42" s="7">
        <v>7.057057057057059E-2</v>
      </c>
      <c r="C42" s="7">
        <v>9.1106502154292279E-3</v>
      </c>
      <c r="D42" s="7">
        <f t="shared" si="0"/>
        <v>5.7677338219111633E-2</v>
      </c>
      <c r="E42" s="7">
        <f t="shared" si="1"/>
        <v>6.1459920355141362E-2</v>
      </c>
      <c r="F42" s="7">
        <f t="shared" si="2"/>
        <v>5.9783199935697376E-2</v>
      </c>
      <c r="H42" s="35" t="s">
        <v>70</v>
      </c>
      <c r="I42" s="21">
        <v>0.99866858469464703</v>
      </c>
      <c r="J42" s="21">
        <v>0.1157810915376957</v>
      </c>
      <c r="K42" s="21">
        <v>0.78777373796534589</v>
      </c>
    </row>
    <row r="43" spans="1:11" x14ac:dyDescent="0.2">
      <c r="A43" s="5">
        <v>44593</v>
      </c>
      <c r="B43" s="7">
        <v>-2.1037868162692819E-2</v>
      </c>
      <c r="C43" s="7">
        <v>1.1941286947278361E-2</v>
      </c>
      <c r="D43" s="7">
        <f t="shared" si="0"/>
        <v>-3.3931100514151775E-2</v>
      </c>
      <c r="E43" s="7">
        <f t="shared" si="1"/>
        <v>-3.2979155109971181E-2</v>
      </c>
      <c r="F43" s="7">
        <f t="shared" si="2"/>
        <v>-3.1271495999228523E-2</v>
      </c>
      <c r="H43" s="25" t="s">
        <v>71</v>
      </c>
      <c r="I43" s="7">
        <v>0.16889378511477335</v>
      </c>
      <c r="J43" s="7">
        <v>0.45914909496523737</v>
      </c>
      <c r="K43" s="7">
        <v>0.14067598568824724</v>
      </c>
    </row>
    <row r="44" spans="1:11" x14ac:dyDescent="0.2">
      <c r="A44" s="5">
        <v>44594</v>
      </c>
      <c r="B44" s="7">
        <v>1.604584527220632E-2</v>
      </c>
      <c r="C44" s="7">
        <v>-5.6821373528403996E-4</v>
      </c>
      <c r="D44" s="7">
        <f t="shared" si="0"/>
        <v>3.1526129207473629E-3</v>
      </c>
      <c r="E44" s="7">
        <f t="shared" si="1"/>
        <v>1.6614059007490359E-2</v>
      </c>
      <c r="F44" s="7">
        <f t="shared" si="2"/>
        <v>3.3650486287986805E-3</v>
      </c>
      <c r="H44" s="25" t="s">
        <v>72</v>
      </c>
      <c r="I44" s="7">
        <v>6.9744605573474679E-9</v>
      </c>
      <c r="J44" s="7">
        <v>3.2437042889467077E-9</v>
      </c>
      <c r="K44" s="7">
        <v>7.1116603065839428E-9</v>
      </c>
    </row>
    <row r="45" spans="1:11" x14ac:dyDescent="0.2">
      <c r="A45" s="5">
        <v>44595</v>
      </c>
      <c r="B45" s="7">
        <v>8.4602368866315558E-4</v>
      </c>
      <c r="C45" s="7">
        <v>-1.9192048626780141E-2</v>
      </c>
      <c r="D45" s="7">
        <f t="shared" si="0"/>
        <v>-1.2047208662795801E-2</v>
      </c>
      <c r="E45" s="7">
        <f t="shared" si="1"/>
        <v>2.0038072315443297E-2</v>
      </c>
      <c r="F45" s="7">
        <f t="shared" si="2"/>
        <v>-1.5478057284576491E-2</v>
      </c>
      <c r="H45" s="25" t="s">
        <v>73</v>
      </c>
      <c r="I45" s="7">
        <v>3.9294455157198153E-5</v>
      </c>
      <c r="J45" s="7">
        <v>2.2808677786120567E-7</v>
      </c>
      <c r="K45" s="7">
        <v>5.5744789232524888E-5</v>
      </c>
    </row>
    <row r="46" spans="1:11" x14ac:dyDescent="0.2">
      <c r="A46" s="5">
        <v>44596</v>
      </c>
      <c r="B46" s="7">
        <v>3.1276415891800642E-2</v>
      </c>
      <c r="C46" s="7">
        <v>-1.3146505244959529E-2</v>
      </c>
      <c r="D46" s="7">
        <f t="shared" si="0"/>
        <v>1.8383183540341685E-2</v>
      </c>
      <c r="E46" s="7">
        <f t="shared" si="1"/>
        <v>4.442292113676017E-2</v>
      </c>
      <c r="F46" s="7">
        <f t="shared" si="2"/>
        <v>1.6134993248417849E-2</v>
      </c>
    </row>
    <row r="47" spans="1:11" x14ac:dyDescent="0.2">
      <c r="A47" s="5">
        <v>44599</v>
      </c>
      <c r="B47" s="7">
        <v>-2.732240437158473E-3</v>
      </c>
      <c r="C47" s="7">
        <v>8.3150164242813407E-3</v>
      </c>
      <c r="D47" s="7">
        <f t="shared" si="0"/>
        <v>-1.562547278861743E-2</v>
      </c>
      <c r="E47" s="7">
        <f t="shared" si="1"/>
        <v>-1.1047256861439814E-2</v>
      </c>
      <c r="F47" s="7">
        <f t="shared" si="2"/>
        <v>-1.3675256788419431E-2</v>
      </c>
      <c r="H47" s="19" t="s">
        <v>62</v>
      </c>
    </row>
    <row r="48" spans="1:11" x14ac:dyDescent="0.2">
      <c r="A48" s="5">
        <v>44600</v>
      </c>
      <c r="B48" s="7">
        <v>1.9726027397260149E-2</v>
      </c>
      <c r="C48" s="7">
        <v>2.1089223995476298E-3</v>
      </c>
      <c r="D48" s="7">
        <f t="shared" si="0"/>
        <v>6.8327950458011918E-3</v>
      </c>
      <c r="E48" s="7">
        <f t="shared" si="1"/>
        <v>1.7617104997712518E-2</v>
      </c>
      <c r="F48" s="7">
        <f t="shared" si="2"/>
        <v>7.5689450256812858E-3</v>
      </c>
      <c r="H48" s="19" t="s">
        <v>63</v>
      </c>
    </row>
    <row r="49" spans="1:7" x14ac:dyDescent="0.2">
      <c r="A49" s="5">
        <v>44601</v>
      </c>
      <c r="B49" s="7">
        <v>8.8662009672220154E-3</v>
      </c>
      <c r="C49" s="7">
        <v>1.812431888357446E-2</v>
      </c>
      <c r="D49" s="7">
        <f t="shared" si="0"/>
        <v>-4.0270313842369412E-3</v>
      </c>
      <c r="E49" s="7">
        <f t="shared" si="1"/>
        <v>-9.258117916352445E-3</v>
      </c>
      <c r="F49" s="7">
        <f t="shared" si="2"/>
        <v>-1.5787236587227679E-4</v>
      </c>
    </row>
    <row r="50" spans="1:7" x14ac:dyDescent="0.2">
      <c r="A50" s="14">
        <v>44602</v>
      </c>
      <c r="B50" s="11">
        <v>2.1304926764313952E-3</v>
      </c>
      <c r="C50" s="11">
        <v>-1.6698072096832379E-3</v>
      </c>
      <c r="D50" s="11">
        <f t="shared" si="0"/>
        <v>-1.0762739675027562E-2</v>
      </c>
      <c r="E50" s="11">
        <f t="shared" si="1"/>
        <v>3.8002998861146331E-3</v>
      </c>
      <c r="F50" s="11">
        <f t="shared" si="2"/>
        <v>-1.0765802991022918E-2</v>
      </c>
      <c r="G50" s="26" t="s">
        <v>54</v>
      </c>
    </row>
    <row r="51" spans="1:7" x14ac:dyDescent="0.2">
      <c r="A51" s="14">
        <v>44603</v>
      </c>
      <c r="B51" s="11">
        <v>7.1751262290724593E-3</v>
      </c>
      <c r="C51" s="11">
        <v>-9.9688224171462503E-3</v>
      </c>
      <c r="D51" s="11">
        <f t="shared" si="0"/>
        <v>-5.7181061223864973E-3</v>
      </c>
      <c r="E51" s="11">
        <f t="shared" si="1"/>
        <v>1.714394864621871E-2</v>
      </c>
      <c r="F51" s="11">
        <f t="shared" si="2"/>
        <v>-7.3446627862633652E-3</v>
      </c>
    </row>
    <row r="52" spans="1:7" x14ac:dyDescent="0.2">
      <c r="A52" s="14">
        <v>44606</v>
      </c>
      <c r="B52" s="11">
        <v>4.485488126648951E-3</v>
      </c>
      <c r="C52" s="11">
        <v>-2.184717325480845E-2</v>
      </c>
      <c r="D52" s="11">
        <f t="shared" si="0"/>
        <v>-8.4077442248100057E-3</v>
      </c>
      <c r="E52" s="11">
        <f t="shared" si="1"/>
        <v>2.6332661381457401E-2</v>
      </c>
      <c r="F52" s="11">
        <f t="shared" si="2"/>
        <v>-1.2358001121385034E-2</v>
      </c>
    </row>
    <row r="53" spans="1:7" x14ac:dyDescent="0.2">
      <c r="A53" s="14">
        <v>44607</v>
      </c>
      <c r="B53" s="11">
        <v>-1.943787759390592E-2</v>
      </c>
      <c r="C53" s="11">
        <v>1.9500796102255521E-2</v>
      </c>
      <c r="D53" s="11">
        <f t="shared" si="0"/>
        <v>-3.233110994536488E-2</v>
      </c>
      <c r="E53" s="11">
        <f t="shared" si="1"/>
        <v>-3.8938673696161441E-2</v>
      </c>
      <c r="F53" s="11">
        <f t="shared" si="2"/>
        <v>-2.8192677820230924E-2</v>
      </c>
    </row>
    <row r="54" spans="1:7" x14ac:dyDescent="0.2">
      <c r="A54" s="14">
        <v>44608</v>
      </c>
      <c r="B54" s="11">
        <v>-1.6072863648539989E-2</v>
      </c>
      <c r="C54" s="11">
        <v>-1.5661680365972601E-3</v>
      </c>
      <c r="D54" s="11">
        <f t="shared" si="0"/>
        <v>-2.8966095999998945E-2</v>
      </c>
      <c r="E54" s="11">
        <f t="shared" si="1"/>
        <v>-1.4506695611942729E-2</v>
      </c>
      <c r="F54" s="11">
        <f t="shared" si="2"/>
        <v>-2.8948884921517509E-2</v>
      </c>
    </row>
    <row r="55" spans="1:7" x14ac:dyDescent="0.2">
      <c r="A55" s="14">
        <v>44609</v>
      </c>
      <c r="B55" s="11">
        <v>-3.267084127416275E-3</v>
      </c>
      <c r="C55" s="11">
        <v>-5.8083138410865987E-3</v>
      </c>
      <c r="D55" s="11">
        <f t="shared" si="0"/>
        <v>-1.6160316478875232E-2</v>
      </c>
      <c r="E55" s="11">
        <f t="shared" si="1"/>
        <v>2.5412297136703237E-3</v>
      </c>
      <c r="F55" s="11">
        <f t="shared" si="2"/>
        <v>-1.6972974405590768E-2</v>
      </c>
    </row>
    <row r="56" spans="1:7" x14ac:dyDescent="0.2">
      <c r="A56" s="14">
        <v>44610</v>
      </c>
      <c r="B56" s="11">
        <v>5.7361376673039643E-3</v>
      </c>
      <c r="C56" s="11">
        <v>-9.4597897650386953E-3</v>
      </c>
      <c r="D56" s="11">
        <f t="shared" si="0"/>
        <v>-7.1570946841549923E-3</v>
      </c>
      <c r="E56" s="11">
        <f t="shared" si="1"/>
        <v>1.519592743234266E-2</v>
      </c>
      <c r="F56" s="11">
        <f t="shared" si="2"/>
        <v>-8.6840719275955748E-3</v>
      </c>
    </row>
    <row r="57" spans="1:7" x14ac:dyDescent="0.2">
      <c r="A57" s="14">
        <v>44613</v>
      </c>
      <c r="B57" s="11">
        <v>5.7034220532319324E-3</v>
      </c>
      <c r="C57" s="11">
        <v>-2.173882691481566E-2</v>
      </c>
      <c r="D57" s="11">
        <f t="shared" si="0"/>
        <v>-7.1898102982270243E-3</v>
      </c>
      <c r="E57" s="11">
        <f t="shared" si="1"/>
        <v>2.7442248968047592E-2</v>
      </c>
      <c r="F57" s="11">
        <f t="shared" si="2"/>
        <v>-1.1118871961651088E-2</v>
      </c>
    </row>
    <row r="58" spans="1:7" x14ac:dyDescent="0.2">
      <c r="A58" s="14">
        <v>44614</v>
      </c>
      <c r="B58" s="11">
        <v>2.0793950850661599E-2</v>
      </c>
      <c r="C58" s="11">
        <v>-6.0212668941517222E-5</v>
      </c>
      <c r="D58" s="11">
        <f t="shared" si="0"/>
        <v>7.900718499202642E-3</v>
      </c>
      <c r="E58" s="11">
        <f t="shared" si="1"/>
        <v>2.0854163519603116E-2</v>
      </c>
      <c r="F58" s="11">
        <f t="shared" si="2"/>
        <v>8.2125318239116736E-3</v>
      </c>
    </row>
    <row r="59" spans="1:7" x14ac:dyDescent="0.2">
      <c r="A59" s="14">
        <v>44615</v>
      </c>
      <c r="B59" s="11">
        <v>8.7301587301586991E-3</v>
      </c>
      <c r="C59" s="11">
        <v>-3.0260066397194141E-3</v>
      </c>
      <c r="D59" s="11">
        <f t="shared" si="0"/>
        <v>-4.1630736213002575E-3</v>
      </c>
      <c r="E59" s="11">
        <f t="shared" si="1"/>
        <v>1.1756165369878113E-2</v>
      </c>
      <c r="F59" s="11">
        <f t="shared" si="2"/>
        <v>-4.4314432053314222E-3</v>
      </c>
    </row>
    <row r="60" spans="1:7" x14ac:dyDescent="0.2">
      <c r="A60" s="15">
        <v>44616</v>
      </c>
      <c r="B60" s="9">
        <v>1.285077366902687E-2</v>
      </c>
      <c r="C60" s="9">
        <v>-3.6271081070104239E-2</v>
      </c>
      <c r="D60" s="9">
        <f t="shared" si="0"/>
        <v>-4.2458682432086961E-5</v>
      </c>
      <c r="E60" s="9">
        <f t="shared" si="1"/>
        <v>4.912185473913111E-2</v>
      </c>
      <c r="F60" s="9">
        <f t="shared" si="2"/>
        <v>-6.8143899347223192E-3</v>
      </c>
      <c r="G60" s="27" t="s">
        <v>55</v>
      </c>
    </row>
    <row r="61" spans="1:7" x14ac:dyDescent="0.2">
      <c r="A61" s="16">
        <v>44617</v>
      </c>
      <c r="B61" s="13">
        <v>-5.1786639047124439E-4</v>
      </c>
      <c r="C61" s="13">
        <v>3.692587944536263E-2</v>
      </c>
      <c r="D61" s="13">
        <f t="shared" si="0"/>
        <v>-1.3411098741930201E-2</v>
      </c>
      <c r="E61" s="13">
        <f t="shared" si="1"/>
        <v>-3.7443745835833875E-2</v>
      </c>
      <c r="F61" s="13">
        <f t="shared" si="2"/>
        <v>-5.8638878416500595E-3</v>
      </c>
      <c r="G61" s="28" t="s">
        <v>56</v>
      </c>
    </row>
    <row r="62" spans="1:7" x14ac:dyDescent="0.2">
      <c r="A62" s="16">
        <v>44620</v>
      </c>
      <c r="B62" s="13">
        <v>0.31735751295336789</v>
      </c>
      <c r="C62" s="13">
        <v>-1.1700727486429139E-2</v>
      </c>
      <c r="D62" s="13">
        <f t="shared" si="0"/>
        <v>0.30446428060190894</v>
      </c>
      <c r="E62" s="13">
        <f t="shared" si="1"/>
        <v>0.32905824043979703</v>
      </c>
      <c r="F62" s="13">
        <f t="shared" si="2"/>
        <v>0.3024989203223194</v>
      </c>
    </row>
    <row r="63" spans="1:7" x14ac:dyDescent="0.2">
      <c r="A63" s="16">
        <v>44621</v>
      </c>
      <c r="B63" s="13">
        <v>0.23893805309734509</v>
      </c>
      <c r="C63" s="13">
        <v>-4.035948035685244E-2</v>
      </c>
      <c r="D63" s="13">
        <f t="shared" si="0"/>
        <v>0.22604482074588614</v>
      </c>
      <c r="E63" s="13">
        <f t="shared" si="1"/>
        <v>0.2792975334541975</v>
      </c>
      <c r="F63" s="13">
        <f t="shared" si="2"/>
        <v>0.21847309712310473</v>
      </c>
    </row>
    <row r="64" spans="1:7" x14ac:dyDescent="0.2">
      <c r="A64" s="16">
        <v>44622</v>
      </c>
      <c r="B64" s="13">
        <v>0.38571428571428568</v>
      </c>
      <c r="C64" s="13">
        <v>1.4535891980523409E-2</v>
      </c>
      <c r="D64" s="13">
        <f t="shared" si="0"/>
        <v>0.37282105336282673</v>
      </c>
      <c r="E64" s="13">
        <f t="shared" si="1"/>
        <v>0.37117839373376227</v>
      </c>
      <c r="F64" s="13">
        <f t="shared" si="2"/>
        <v>0.37598822701776857</v>
      </c>
    </row>
    <row r="65" spans="1:6" x14ac:dyDescent="0.2">
      <c r="A65" s="16">
        <v>44623</v>
      </c>
      <c r="B65" s="13">
        <v>-0.18957617411225661</v>
      </c>
      <c r="C65" s="13">
        <v>-2.0627718959837841E-2</v>
      </c>
      <c r="D65" s="13">
        <f t="shared" si="0"/>
        <v>-0.20246940646371556</v>
      </c>
      <c r="E65" s="13">
        <f t="shared" si="1"/>
        <v>-0.16894845515241877</v>
      </c>
      <c r="F65" s="13">
        <f t="shared" si="2"/>
        <v>-0.20618110783455182</v>
      </c>
    </row>
    <row r="66" spans="1:6" x14ac:dyDescent="0.2">
      <c r="A66" s="16">
        <v>44624</v>
      </c>
      <c r="B66" s="13">
        <v>0.22261484098939929</v>
      </c>
      <c r="C66" s="13">
        <v>-4.9647498804508361E-2</v>
      </c>
      <c r="D66" s="13">
        <f t="shared" si="0"/>
        <v>0.20972160863794034</v>
      </c>
      <c r="E66" s="13">
        <f t="shared" si="1"/>
        <v>0.27226233979390768</v>
      </c>
      <c r="F66" s="13">
        <f t="shared" si="2"/>
        <v>0.2003329180874191</v>
      </c>
    </row>
    <row r="67" spans="1:6" x14ac:dyDescent="0.2">
      <c r="A67" s="16">
        <v>44627</v>
      </c>
      <c r="B67" s="13">
        <v>-1.6878612716763049E-2</v>
      </c>
      <c r="C67" s="13">
        <v>-1.231437452151218E-2</v>
      </c>
      <c r="D67" s="13">
        <f t="shared" si="0"/>
        <v>-2.9771845068222006E-2</v>
      </c>
      <c r="E67" s="13">
        <f t="shared" si="1"/>
        <v>-4.5642381952508693E-3</v>
      </c>
      <c r="F67" s="13">
        <f t="shared" si="2"/>
        <v>-3.1857249937982772E-2</v>
      </c>
    </row>
    <row r="68" spans="1:6" x14ac:dyDescent="0.2">
      <c r="A68" s="16">
        <v>44628</v>
      </c>
      <c r="B68" s="13">
        <v>3.245531514581379E-2</v>
      </c>
      <c r="C68" s="13">
        <v>-1.9730915769600181E-3</v>
      </c>
      <c r="D68" s="13">
        <f t="shared" si="0"/>
        <v>1.9562082794354833E-2</v>
      </c>
      <c r="E68" s="13">
        <f t="shared" si="1"/>
        <v>3.4428406722773808E-2</v>
      </c>
      <c r="F68" s="13">
        <f t="shared" si="2"/>
        <v>1.9499689528903845E-2</v>
      </c>
    </row>
    <row r="69" spans="1:6" x14ac:dyDescent="0.2">
      <c r="A69" s="16">
        <v>44629</v>
      </c>
      <c r="B69" s="13">
        <v>-4.783599088838264E-2</v>
      </c>
      <c r="C69" s="13">
        <v>7.4381856440753458E-2</v>
      </c>
      <c r="D69" s="13">
        <f t="shared" si="0"/>
        <v>-6.0729223239841597E-2</v>
      </c>
      <c r="E69" s="13">
        <f t="shared" si="1"/>
        <v>-0.1222178473291361</v>
      </c>
      <c r="F69" s="13">
        <f t="shared" si="2"/>
        <v>-4.5854693619174478E-2</v>
      </c>
    </row>
    <row r="70" spans="1:6" x14ac:dyDescent="0.2">
      <c r="A70" s="16">
        <v>44630</v>
      </c>
      <c r="B70" s="13">
        <v>-0.12081339712918659</v>
      </c>
      <c r="C70" s="13">
        <v>-3.0438002548747178E-2</v>
      </c>
      <c r="D70" s="13">
        <f t="shared" si="0"/>
        <v>-0.13370662948064554</v>
      </c>
      <c r="E70" s="13">
        <f t="shared" si="1"/>
        <v>-9.0375394580439417E-2</v>
      </c>
      <c r="F70" s="13">
        <f t="shared" si="2"/>
        <v>-0.13933746580295209</v>
      </c>
    </row>
  </sheetData>
  <mergeCells count="5">
    <mergeCell ref="H35:K35"/>
    <mergeCell ref="A2:K2"/>
    <mergeCell ref="H29:K29"/>
    <mergeCell ref="A1:K1"/>
    <mergeCell ref="H41:K4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7</vt:i4>
      </vt:variant>
    </vt:vector>
  </HeadingPairs>
  <TitlesOfParts>
    <vt:vector size="7" baseType="lpstr">
      <vt:lpstr>Récapitulatif</vt:lpstr>
      <vt:lpstr>EU ETS Carbon</vt:lpstr>
      <vt:lpstr>ERIX (ENR Europe)</vt:lpstr>
      <vt:lpstr>CLIM (Finance Verte)</vt:lpstr>
      <vt:lpstr>Brent Oil</vt:lpstr>
      <vt:lpstr>TTF Natural Gas</vt:lpstr>
      <vt:lpstr>Rotterdam Coal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2026-04-18T21:11:06Z</dcterms:created>
  <dcterms:modified xsi:type="dcterms:W3CDTF">2026-04-20T07:52:48Z</dcterms:modified>
</cp:coreProperties>
</file>